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eakin365-my.sharepoint.com/personal/annista_wijayanayake_deakin_edu_au/Documents/Documents/0.00  2025-T1/MIS775/MIS775-2025-T1/Week 1-Decision Modelling &amp; Linear Programming (LP)/"/>
    </mc:Choice>
  </mc:AlternateContent>
  <xr:revisionPtr revIDLastSave="516" documentId="11_D71F4569B06705EBEEC7AB6BF92E07C700E8765A" xr6:coauthVersionLast="47" xr6:coauthVersionMax="47" xr10:uidLastSave="{22A00728-2C4C-4734-ABC3-3DAB3418DF59}"/>
  <bookViews>
    <workbookView xWindow="732" yWindow="636" windowWidth="35400" windowHeight="15480" tabRatio="842" activeTab="1" xr2:uid="{00000000-000D-0000-FFFF-FFFF00000000}"/>
  </bookViews>
  <sheets>
    <sheet name="Conceptual model for Ex1" sheetId="17" r:id="rId1"/>
    <sheet name="Spreadsheet model1" sheetId="11" r:id="rId2"/>
    <sheet name="Spreadsheet model2" sheetId="10" r:id="rId3"/>
    <sheet name="Calculation of model 2" sheetId="16" r:id="rId4"/>
    <sheet name="Model1_STS" sheetId="14" state="veryHidden" r:id="rId5"/>
  </sheets>
  <definedNames>
    <definedName name="Number_to_produce">#REF!</definedName>
    <definedName name="solver_adj" localSheetId="1" hidden="1">'Spreadsheet model1'!$C$17:$D$17</definedName>
    <definedName name="solver_adj" localSheetId="2" hidden="1">'Spreadsheet model2'!$C$19:$J$20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2</definedName>
    <definedName name="solver_eng" localSheetId="2" hidden="1">2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'Spreadsheet model1'!$E$28:$E$31</definedName>
    <definedName name="solver_lhs1" localSheetId="2" hidden="1">'Spreadsheet model2'!$K$33:$K$43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1</definedName>
    <definedName name="solver_num" localSheetId="2" hidden="1">1</definedName>
    <definedName name="solver_nwt" localSheetId="1" hidden="1">1</definedName>
    <definedName name="solver_nwt" localSheetId="2" hidden="1">1</definedName>
    <definedName name="solver_opt" localSheetId="1" hidden="1">'Spreadsheet model1'!$C$23</definedName>
    <definedName name="solver_opt" localSheetId="2" hidden="1">'Spreadsheet model2'!$C$28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1</definedName>
    <definedName name="solver_rel1" localSheetId="2" hidden="1">1</definedName>
    <definedName name="solver_rhs1" localSheetId="1" hidden="1">'Spreadsheet model1'!$G$28:$G$31</definedName>
    <definedName name="solver_rhs1" localSheetId="2" hidden="1">'Spreadsheet model2'!$M$33:$M$43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6" i="10" l="1"/>
  <c r="K37" i="10"/>
  <c r="K38" i="10"/>
  <c r="K39" i="10"/>
  <c r="K40" i="10"/>
  <c r="K41" i="10"/>
  <c r="K42" i="10"/>
  <c r="K43" i="10"/>
  <c r="K35" i="10"/>
  <c r="K34" i="10"/>
  <c r="K33" i="10"/>
  <c r="E31" i="11"/>
  <c r="E29" i="11"/>
  <c r="E30" i="11"/>
  <c r="E28" i="11"/>
  <c r="C23" i="11"/>
  <c r="C21" i="11"/>
  <c r="C28" i="10"/>
  <c r="D29" i="11"/>
  <c r="C29" i="11"/>
  <c r="D28" i="11"/>
  <c r="C28" i="11"/>
  <c r="D27" i="11"/>
  <c r="C27" i="11"/>
  <c r="D21" i="11"/>
  <c r="D20" i="11"/>
  <c r="C20" i="11"/>
  <c r="C26" i="10" l="1"/>
  <c r="D26" i="10"/>
  <c r="E26" i="10"/>
  <c r="F26" i="10"/>
  <c r="G26" i="10"/>
  <c r="H26" i="10"/>
  <c r="I26" i="10"/>
  <c r="J26" i="10"/>
  <c r="D25" i="10"/>
  <c r="E25" i="10"/>
  <c r="F25" i="10"/>
  <c r="G25" i="10"/>
  <c r="H25" i="10"/>
  <c r="I25" i="10"/>
  <c r="J25" i="10"/>
  <c r="C25" i="10"/>
  <c r="D33" i="10"/>
  <c r="E33" i="10"/>
  <c r="F33" i="10"/>
  <c r="G33" i="10"/>
  <c r="H33" i="10"/>
  <c r="I33" i="10"/>
  <c r="J33" i="10"/>
  <c r="D34" i="10"/>
  <c r="E34" i="10"/>
  <c r="F34" i="10"/>
  <c r="G34" i="10"/>
  <c r="H34" i="10"/>
  <c r="I34" i="10"/>
  <c r="J34" i="10"/>
  <c r="D35" i="10"/>
  <c r="E35" i="10"/>
  <c r="F35" i="10"/>
  <c r="G35" i="10"/>
  <c r="H35" i="10"/>
  <c r="I35" i="10"/>
  <c r="J35" i="10"/>
  <c r="C34" i="10"/>
  <c r="C35" i="10"/>
  <c r="C3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Stewart</author>
  </authors>
  <commentList>
    <comment ref="C17" authorId="0" shapeId="0" xr:uid="{00000000-0006-0000-0000-000001000000}">
      <text>
        <r>
          <rPr>
            <sz val="10"/>
            <color indexed="81"/>
            <rFont val="Calibri"/>
            <family val="2"/>
            <scheme val="minor"/>
          </rPr>
          <t>Decision variable cell</t>
        </r>
      </text>
    </comment>
    <comment ref="D17" authorId="0" shapeId="0" xr:uid="{00000000-0006-0000-0000-000002000000}">
      <text>
        <r>
          <rPr>
            <sz val="10"/>
            <color indexed="81"/>
            <rFont val="Calibri"/>
            <family val="2"/>
            <scheme val="minor"/>
          </rPr>
          <t>Decision variable cell</t>
        </r>
      </text>
    </comment>
    <comment ref="C23" authorId="0" shapeId="0" xr:uid="{00000000-0006-0000-0000-000003000000}">
      <text>
        <r>
          <rPr>
            <sz val="10"/>
            <color indexed="81"/>
            <rFont val="Calibri"/>
            <family val="2"/>
            <scheme val="minor"/>
          </rPr>
          <t>Objective cell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Stewart</author>
  </authors>
  <commentList>
    <comment ref="C28" authorId="0" shapeId="0" xr:uid="{00000000-0006-0000-0100-000001000000}">
      <text>
        <r>
          <rPr>
            <sz val="10"/>
            <color indexed="81"/>
            <rFont val="Calibri"/>
            <family val="2"/>
            <scheme val="minor"/>
          </rPr>
          <t>Objective cell</t>
        </r>
      </text>
    </comment>
  </commentList>
</comments>
</file>

<file path=xl/sharedStrings.xml><?xml version="1.0" encoding="utf-8"?>
<sst xmlns="http://schemas.openxmlformats.org/spreadsheetml/2006/main" count="232" uniqueCount="112">
  <si>
    <t>DECISION VARIABLES</t>
  </si>
  <si>
    <t>OBJECTIVE FUNCTION</t>
  </si>
  <si>
    <t>CONSTRAINTS</t>
  </si>
  <si>
    <t>Available</t>
  </si>
  <si>
    <t>Used</t>
  </si>
  <si>
    <t>LHS</t>
  </si>
  <si>
    <t>Basic</t>
  </si>
  <si>
    <t>XP</t>
  </si>
  <si>
    <t>Selling price</t>
  </si>
  <si>
    <t>Unit margin</t>
  </si>
  <si>
    <t>Assembly time</t>
  </si>
  <si>
    <t>Testing time</t>
  </si>
  <si>
    <t>Assembly</t>
  </si>
  <si>
    <t>Testing</t>
  </si>
  <si>
    <t>Cost of parts</t>
  </si>
  <si>
    <t>Hours of assembly</t>
  </si>
  <si>
    <t>Hours of testing</t>
  </si>
  <si>
    <t>RHS</t>
  </si>
  <si>
    <t>&lt;</t>
  </si>
  <si>
    <t>Market demand for Basics</t>
  </si>
  <si>
    <t>Market demand for XPs</t>
  </si>
  <si>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</si>
  <si>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</si>
  <si>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</si>
  <si>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</si>
  <si>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</si>
  <si>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</si>
  <si>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</si>
  <si>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</si>
  <si>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Market demand for model 1</t>
  </si>
  <si>
    <t>Market demand for model 2</t>
  </si>
  <si>
    <t>Market demand for model 3</t>
  </si>
  <si>
    <t>Market demand for model 4</t>
  </si>
  <si>
    <t>Market demand for model 5</t>
  </si>
  <si>
    <t>Market demand for model 6</t>
  </si>
  <si>
    <t>Market demand for model 7</t>
  </si>
  <si>
    <t>Market demand for model 8</t>
  </si>
  <si>
    <t>Testing time line 1</t>
  </si>
  <si>
    <t>Testing time line 2</t>
  </si>
  <si>
    <t>Testing, line 1</t>
  </si>
  <si>
    <t>Testing, line 2</t>
  </si>
  <si>
    <t>Hours of testing, line 1</t>
  </si>
  <si>
    <t>Hours of testing, line 2</t>
  </si>
  <si>
    <t>Unit margin, line 1</t>
  </si>
  <si>
    <t>Unit margin, line 2</t>
  </si>
  <si>
    <t>No. to produce</t>
  </si>
  <si>
    <t>Total monthly profit</t>
  </si>
  <si>
    <t>No. to produce on line 1</t>
  </si>
  <si>
    <t>No. to produce on line 2</t>
  </si>
  <si>
    <t xml:space="preserve"> </t>
  </si>
  <si>
    <t>INPUTS PER UNIT</t>
  </si>
  <si>
    <t>HOURLY LABOUR COSTS</t>
  </si>
  <si>
    <t>$D$11</t>
  </si>
  <si>
    <t>$C$15:$D$15,$C$21</t>
  </si>
  <si>
    <t>Input</t>
  </si>
  <si>
    <t>Larger Product Mix Model</t>
  </si>
  <si>
    <t>A Two-variable Product Mix Model</t>
  </si>
  <si>
    <t>Hours available</t>
  </si>
  <si>
    <t>Maximum Demand</t>
  </si>
  <si>
    <t>Cost ($)</t>
  </si>
  <si>
    <t>net profit line 1</t>
  </si>
  <si>
    <t>net profit line 2</t>
  </si>
  <si>
    <t>350-150 - 4*11 - 2*17  = 122</t>
  </si>
  <si>
    <t xml:space="preserve"> 450-225-5*11 -2*19 =132</t>
  </si>
  <si>
    <t>600 -300 - 6*11 - 3.5* 17 = 174.5</t>
  </si>
  <si>
    <t>This summary sheet provide a comprhensive understanding of Net profit calculation and other calculation of related constraints</t>
  </si>
  <si>
    <t>X1</t>
  </si>
  <si>
    <t>X2</t>
  </si>
  <si>
    <t>X3</t>
  </si>
  <si>
    <t>X4</t>
  </si>
  <si>
    <t>X5</t>
  </si>
  <si>
    <t>X6</t>
  </si>
  <si>
    <t>X7</t>
  </si>
  <si>
    <t>X8</t>
  </si>
  <si>
    <t>Y1</t>
  </si>
  <si>
    <t>Y2</t>
  </si>
  <si>
    <t>Y3</t>
  </si>
  <si>
    <t>Y4</t>
  </si>
  <si>
    <t>Y5</t>
  </si>
  <si>
    <t>Y6</t>
  </si>
  <si>
    <t>Y7</t>
  </si>
  <si>
    <t>Y8</t>
  </si>
  <si>
    <t>4*(X1+Y1)</t>
  </si>
  <si>
    <t>5 *(X2+Y2)</t>
  </si>
  <si>
    <t>1.5* X1</t>
  </si>
  <si>
    <t>2*X2</t>
  </si>
  <si>
    <t>2*X3</t>
  </si>
  <si>
    <t>2*X4</t>
  </si>
  <si>
    <t>2.5*X5</t>
  </si>
  <si>
    <t>2.5*X6</t>
  </si>
  <si>
    <t>2.5 * X7</t>
  </si>
  <si>
    <t>3*X8</t>
  </si>
  <si>
    <t>2Y1</t>
  </si>
  <si>
    <t>2.5Y2</t>
  </si>
  <si>
    <t>2.5Y3</t>
  </si>
  <si>
    <t>2.5 Y4</t>
  </si>
  <si>
    <t>3Y5</t>
  </si>
  <si>
    <t>3Y6</t>
  </si>
  <si>
    <t>3.5Y7</t>
  </si>
  <si>
    <t>3.5Y8</t>
  </si>
  <si>
    <t>X1+Y1</t>
  </si>
  <si>
    <t>X2+Y2</t>
  </si>
  <si>
    <t>X3+Y3</t>
  </si>
  <si>
    <t>X4+Y4</t>
  </si>
  <si>
    <t>X5+Y5</t>
  </si>
  <si>
    <t>X6+Y6</t>
  </si>
  <si>
    <t>X7+Y7</t>
  </si>
  <si>
    <t>X8+Y8</t>
  </si>
  <si>
    <t>350-150- 4*11-1.5*19 = 127.5</t>
  </si>
  <si>
    <t>450-225 - 5*11 - 2.5 *17 =127.5</t>
  </si>
  <si>
    <t>Optimal Value</t>
  </si>
  <si>
    <t>Optimal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</si>
</sst>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&quot;$&quot;#,##0"/>
    <numFmt numFmtId="165" formatCode="&quot;$&quot;#,##0.0;[Red]\-&quot;$&quot;#,##0.0"/>
  </numFmts>
  <fonts count="27" x14ac:knownFonts="1"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8"/>
      <color theme="10"/>
      <name val="Tahoma"/>
      <family val="2"/>
    </font>
    <font>
      <u/>
      <sz val="8"/>
      <color theme="1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373636"/>
      <name val="Calibri"/>
      <family val="2"/>
    </font>
    <font>
      <u/>
      <sz val="11"/>
      <color theme="1"/>
      <name val="Calibri"/>
      <family val="2"/>
      <scheme val="minor"/>
    </font>
    <font>
      <sz val="10"/>
      <color indexed="81"/>
      <name val="Calibri"/>
      <family val="2"/>
      <scheme val="minor"/>
    </font>
    <font>
      <sz val="8"/>
      <color theme="1"/>
      <name val="Tahoma"/>
      <family val="2"/>
    </font>
    <font>
      <b/>
      <sz val="20"/>
      <color theme="1"/>
      <name val="Calibri"/>
      <family val="2"/>
      <scheme val="minor"/>
    </font>
    <font>
      <sz val="12"/>
      <color theme="1"/>
      <name val="Aptos"/>
      <family val="2"/>
    </font>
    <font>
      <sz val="10"/>
      <color theme="1"/>
      <name val="Times New Roman"/>
      <family val="1"/>
    </font>
    <font>
      <b/>
      <sz val="12"/>
      <color rgb="FF000000"/>
      <name val="Calibri"/>
      <family val="2"/>
    </font>
    <font>
      <b/>
      <sz val="12"/>
      <color rgb="FF0070C0"/>
      <name val="Calibri"/>
      <family val="2"/>
    </font>
    <font>
      <sz val="12"/>
      <color rgb="FF000000"/>
      <name val="Calibri"/>
      <family val="2"/>
    </font>
    <font>
      <b/>
      <sz val="12"/>
      <color rgb="FF7030A0"/>
      <name val="Calibri"/>
      <family val="2"/>
    </font>
    <font>
      <b/>
      <u/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4"/>
      <color rgb="FF373636"/>
      <name val="Calibri"/>
      <family val="2"/>
    </font>
    <font>
      <b/>
      <sz val="14"/>
      <color rgb="FF0000FF"/>
      <name val="Calibri"/>
      <family val="2"/>
      <scheme val="minor"/>
    </font>
    <font>
      <b/>
      <sz val="11"/>
      <color rgb="FF37363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0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44" fontId="14" fillId="0" borderId="0" applyFont="0" applyFill="0" applyBorder="0" applyAlignment="0" applyProtection="0"/>
  </cellStyleXfs>
  <cellXfs count="74">
    <xf numFmtId="0" fontId="0" fillId="0" borderId="0" xfId="0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 readingOrder="1"/>
    </xf>
    <xf numFmtId="0" fontId="10" fillId="0" borderId="0" xfId="0" applyFont="1"/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 readingOrder="1"/>
    </xf>
    <xf numFmtId="0" fontId="4" fillId="0" borderId="0" xfId="0" applyFont="1"/>
    <xf numFmtId="0" fontId="10" fillId="0" borderId="0" xfId="0" applyFont="1" applyAlignment="1">
      <alignment horizontal="center" vertical="center"/>
    </xf>
    <xf numFmtId="49" fontId="0" fillId="0" borderId="0" xfId="0" applyNumberFormat="1"/>
    <xf numFmtId="0" fontId="15" fillId="0" borderId="0" xfId="0" applyFont="1"/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6" fillId="2" borderId="1" xfId="29" applyNumberFormat="1" applyFont="1" applyFill="1" applyBorder="1" applyAlignment="1">
      <alignment horizontal="center"/>
    </xf>
    <xf numFmtId="6" fontId="7" fillId="0" borderId="0" xfId="0" applyNumberFormat="1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6" fontId="11" fillId="2" borderId="1" xfId="0" applyNumberFormat="1" applyFont="1" applyFill="1" applyBorder="1" applyAlignment="1">
      <alignment horizontal="center" vertical="center" wrapText="1" readingOrder="1"/>
    </xf>
    <xf numFmtId="6" fontId="11" fillId="0" borderId="0" xfId="0" applyNumberFormat="1" applyFont="1" applyAlignment="1">
      <alignment horizontal="center" vertical="center" wrapText="1" readingOrder="1"/>
    </xf>
    <xf numFmtId="164" fontId="7" fillId="3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6" fontId="7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 readingOrder="1"/>
    </xf>
    <xf numFmtId="0" fontId="3" fillId="0" borderId="0" xfId="0" applyFont="1"/>
    <xf numFmtId="0" fontId="16" fillId="0" borderId="0" xfId="0" applyFont="1"/>
    <xf numFmtId="0" fontId="17" fillId="0" borderId="0" xfId="0" applyFont="1" applyAlignment="1">
      <alignment vertical="center" wrapText="1"/>
    </xf>
    <xf numFmtId="0" fontId="16" fillId="2" borderId="2" xfId="0" applyFont="1" applyFill="1" applyBorder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8" fillId="2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vertical="center"/>
    </xf>
    <xf numFmtId="6" fontId="19" fillId="2" borderId="3" xfId="0" applyNumberFormat="1" applyFont="1" applyFill="1" applyBorder="1" applyAlignment="1">
      <alignment horizontal="center" vertical="center" wrapText="1"/>
    </xf>
    <xf numFmtId="6" fontId="19" fillId="2" borderId="2" xfId="0" applyNumberFormat="1" applyFont="1" applyFill="1" applyBorder="1" applyAlignment="1">
      <alignment horizontal="center" vertical="center" wrapText="1"/>
    </xf>
    <xf numFmtId="6" fontId="19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3" fontId="21" fillId="2" borderId="2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18" fillId="5" borderId="4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" fillId="0" borderId="0" xfId="0" applyFont="1"/>
    <xf numFmtId="165" fontId="24" fillId="2" borderId="1" xfId="0" applyNumberFormat="1" applyFont="1" applyFill="1" applyBorder="1" applyAlignment="1">
      <alignment horizontal="center" vertical="center" wrapText="1" readingOrder="1"/>
    </xf>
    <xf numFmtId="0" fontId="25" fillId="0" borderId="0" xfId="0" applyFont="1" applyAlignment="1">
      <alignment horizontal="left"/>
    </xf>
    <xf numFmtId="164" fontId="1" fillId="3" borderId="1" xfId="0" applyNumberFormat="1" applyFont="1" applyFill="1" applyBorder="1" applyAlignment="1">
      <alignment horizontal="center"/>
    </xf>
    <xf numFmtId="165" fontId="26" fillId="2" borderId="1" xfId="0" applyNumberFormat="1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left"/>
    </xf>
  </cellXfs>
  <cellStyles count="30">
    <cellStyle name="Currency" xfId="29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2" defaultPivotStyle="PivotStyleLight16"/>
  <colors>
    <mruColors>
      <color rgb="FF0000FF"/>
      <color rgb="FFD9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458212</xdr:colOff>
      <xdr:row>57</xdr:row>
      <xdr:rowOff>114939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97DD5-7FCD-9979-865C-8723F6EAD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" y="129540"/>
          <a:ext cx="11674852" cy="7369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441961</xdr:colOff>
      <xdr:row>1</xdr:row>
      <xdr:rowOff>0</xdr:rowOff>
    </xdr:from>
    <xdr:ext cx="8587740" cy="35204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FF3A1B-5E7E-5AA4-1F5B-9D4A69D6C272}"/>
            </a:ext>
          </a:extLst>
        </xdr:cNvPr>
        <xdr:cNvSpPr txBox="1"/>
      </xdr:nvSpPr>
      <xdr:spPr>
        <a:xfrm>
          <a:off x="5974081" y="182880"/>
          <a:ext cx="8587740" cy="3520451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rtl="0" eaLnBrk="1" latinLnBrk="0" hangingPunct="1"/>
          <a:r>
            <a:rPr lang="en-GB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Two-variable Product Mix Model*</a:t>
          </a:r>
        </a:p>
        <a:p>
          <a:pPr rtl="0" eaLnBrk="1" latinLnBrk="0" hangingPunct="1"/>
          <a:endParaRPr lang="en-GB" sz="16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PC Tech company makes two models of computers – Basic &amp; XP</a:t>
          </a:r>
        </a:p>
        <a:p>
          <a:pPr rtl="0" eaLnBrk="1" latinLnBrk="0" hangingPunct="1"/>
          <a:endParaRPr lang="en-AU" sz="16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They believe the most it can sell in a month is </a:t>
          </a:r>
          <a:r>
            <a:rPr lang="en-AU" sz="16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600 </a:t>
          </a: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Basics and </a:t>
          </a:r>
          <a:r>
            <a:rPr lang="en-AU" sz="16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1200</a:t>
          </a: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XPs</a:t>
          </a:r>
          <a:endParaRPr lang="en-AU" sz="16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Basic sells for $300, and an XP for $450</a:t>
          </a:r>
          <a:endParaRPr lang="en-AU" sz="16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cost of component parts is $150 for a Basic and $225 for an XP </a:t>
          </a:r>
          <a:endParaRPr lang="en-AU" sz="16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There are at most </a:t>
          </a:r>
          <a:r>
            <a:rPr lang="en-AU" sz="16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10,000</a:t>
          </a: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assembly hours and </a:t>
          </a:r>
          <a:r>
            <a:rPr lang="en-AU" sz="16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3,000</a:t>
          </a: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hours of testing</a:t>
          </a:r>
          <a:endParaRPr lang="en-AU" sz="16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Each hour for assembling and testing costs $11 and $15 respectively</a:t>
          </a:r>
          <a:endParaRPr lang="en-AU" sz="16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Each Basic requires 5 hours of assembly and one hour of testing, whereas each XP requires 6 hours of assembly and two hours of testing </a:t>
          </a:r>
          <a:endParaRPr lang="en-AU" sz="16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objective is to find the mix of computer models that </a:t>
          </a: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maximises profit </a:t>
          </a:r>
          <a:endParaRPr lang="en-AU" sz="1600">
            <a:effectLst/>
          </a:endParaRPr>
        </a:p>
        <a:p>
          <a:pPr rtl="0" eaLnBrk="1" latinLnBrk="0" hangingPunct="1"/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AU" sz="16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Textbook pp 75-86</a:t>
          </a:r>
          <a:endParaRPr lang="en-AU" sz="1600">
            <a:effectLst/>
          </a:endParaRPr>
        </a:p>
        <a:p>
          <a:endParaRPr lang="en-AU" sz="1100"/>
        </a:p>
      </xdr:txBody>
    </xdr:sp>
    <xdr:clientData/>
  </xdr:oneCellAnchor>
  <xdr:oneCellAnchor>
    <xdr:from>
      <xdr:col>10</xdr:col>
      <xdr:colOff>38100</xdr:colOff>
      <xdr:row>20</xdr:row>
      <xdr:rowOff>106680</xdr:rowOff>
    </xdr:from>
    <xdr:ext cx="6318525" cy="20177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E0DF19-A15E-E155-1873-884E89F3AB70}"/>
            </a:ext>
          </a:extLst>
        </xdr:cNvPr>
        <xdr:cNvSpPr txBox="1"/>
      </xdr:nvSpPr>
      <xdr:spPr>
        <a:xfrm>
          <a:off x="6042660" y="3962400"/>
          <a:ext cx="6318525" cy="2017732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Let X1 and X2 denote the number of Basics and XPs produced per months</a:t>
          </a:r>
        </a:p>
        <a:p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Maximise profit ($)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	 </a:t>
          </a:r>
          <a:r>
            <a:rPr lang="en-AU" sz="16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80X1</a:t>
          </a:r>
          <a:r>
            <a:rPr lang="en-AU" sz="1600" b="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6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+ 129X2</a:t>
          </a:r>
        </a:p>
        <a:p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Subject to:</a:t>
          </a: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5X1 + 6X2 	≤ 10,000 	(assembly time constraint)</a:t>
          </a:r>
        </a:p>
        <a:p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X1</a:t>
          </a:r>
          <a:r>
            <a:rPr lang="en-AU" sz="16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+ 2X2</a:t>
          </a:r>
          <a:r>
            <a:rPr lang="en-AU" sz="16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3,000 	(testing time constraint) </a:t>
          </a:r>
        </a:p>
        <a:p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X1</a:t>
          </a:r>
          <a:r>
            <a:rPr lang="en-AU" sz="16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600 	(monthly demand for Basics) </a:t>
          </a:r>
        </a:p>
        <a:p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</a:t>
          </a:r>
          <a:r>
            <a:rPr lang="en-AU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X2</a:t>
          </a:r>
          <a:r>
            <a:rPr lang="en-AU" sz="16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1200 </a:t>
          </a:r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	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XPs) </a:t>
          </a:r>
        </a:p>
        <a:p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X1, X2</a:t>
          </a:r>
          <a:r>
            <a:rPr lang="en-AU" sz="16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 (non-negativity conditions)</a:t>
          </a:r>
        </a:p>
        <a:p>
          <a:endParaRPr lang="en-AU" sz="1100"/>
        </a:p>
      </xdr:txBody>
    </xdr:sp>
    <xdr:clientData/>
  </xdr:oneCellAnchor>
  <xdr:twoCellAnchor>
    <xdr:from>
      <xdr:col>4</xdr:col>
      <xdr:colOff>0</xdr:colOff>
      <xdr:row>16</xdr:row>
      <xdr:rowOff>0</xdr:rowOff>
    </xdr:from>
    <xdr:to>
      <xdr:col>4</xdr:col>
      <xdr:colOff>281940</xdr:colOff>
      <xdr:row>16</xdr:row>
      <xdr:rowOff>114300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48502DBB-CA5D-4531-9263-EFE42BAD612F}"/>
            </a:ext>
          </a:extLst>
        </xdr:cNvPr>
        <xdr:cNvSpPr/>
      </xdr:nvSpPr>
      <xdr:spPr>
        <a:xfrm>
          <a:off x="3223260" y="3093720"/>
          <a:ext cx="281940" cy="114300"/>
        </a:xfrm>
        <a:prstGeom prst="leftArrow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182880</xdr:colOff>
      <xdr:row>22</xdr:row>
      <xdr:rowOff>7620</xdr:rowOff>
    </xdr:from>
    <xdr:to>
      <xdr:col>3</xdr:col>
      <xdr:colOff>594360</xdr:colOff>
      <xdr:row>22</xdr:row>
      <xdr:rowOff>160020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211B44DE-B257-4028-B97A-9716CD0C3A6F}"/>
            </a:ext>
          </a:extLst>
        </xdr:cNvPr>
        <xdr:cNvSpPr/>
      </xdr:nvSpPr>
      <xdr:spPr>
        <a:xfrm>
          <a:off x="2773680" y="4244340"/>
          <a:ext cx="411480" cy="152400"/>
        </a:xfrm>
        <a:prstGeom prst="leftArrow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464821</xdr:colOff>
      <xdr:row>1</xdr:row>
      <xdr:rowOff>144780</xdr:rowOff>
    </xdr:from>
    <xdr:ext cx="7391400" cy="336399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E08E07-AA27-A1A8-0FE1-4B5890FBDBB9}"/>
            </a:ext>
          </a:extLst>
        </xdr:cNvPr>
        <xdr:cNvSpPr txBox="1"/>
      </xdr:nvSpPr>
      <xdr:spPr>
        <a:xfrm>
          <a:off x="11041381" y="327660"/>
          <a:ext cx="7391400" cy="3363998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rtl="0" eaLnBrk="1" latinLnBrk="0" hangingPunct="1"/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time PCTech must decide how many of </a:t>
          </a: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 models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assemble and test,when there are </a:t>
          </a: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two lines for testing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.Computers can be tested on either line.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There are at most 20,000 assembly hours and 5000 hrs for line one and 6,000 hours of testing for line 2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Selling price and Cost of the parts are seperatly provided in the spredsheet</a:t>
          </a:r>
          <a:r>
            <a:rPr lang="en-A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#3</a:t>
          </a:r>
          <a:endParaRPr lang="en-AU" sz="1100">
            <a:effectLst/>
          </a:endParaRPr>
        </a:p>
        <a:p>
          <a:pPr rtl="0" eaLnBrk="1" latinLnBrk="0" hangingPunct="1"/>
          <a:endParaRPr lang="en-AU" sz="1600">
            <a:effectLst/>
          </a:endParaRPr>
        </a:p>
        <a:p>
          <a:pPr rtl="0" eaLnBrk="1" latinLnBrk="0" hangingPunct="1"/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objective is unchanged - find the mix of computer models that maximises profit</a:t>
          </a:r>
          <a:endParaRPr lang="en-AU" sz="1600">
            <a:effectLst/>
          </a:endParaRPr>
        </a:p>
        <a:p>
          <a:pPr rtl="0" eaLnBrk="1" latinLnBrk="0" hangingPunct="1"/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 solve this in our lab session,but it is worth noting that the main complicating factor here is that we now have 16 decision variables - the number of each type of model to test on each line</a:t>
          </a:r>
        </a:p>
        <a:p>
          <a:pPr rtl="0" eaLnBrk="1" latinLnBrk="0" hangingPunct="1"/>
          <a:endParaRPr lang="en-AU" sz="1600">
            <a:effectLst/>
          </a:endParaRPr>
        </a:p>
        <a:p>
          <a:pPr rtl="0" eaLnBrk="1" latinLnBrk="0" hangingPunct="1"/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Let X</a:t>
          </a:r>
          <a:r>
            <a:rPr lang="en-AU" sz="1600" baseline="-17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Y</a:t>
          </a:r>
          <a:r>
            <a:rPr lang="en-AU" sz="1600" baseline="-17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denote the number of model j computers tested on lines 1 and 2 respectively (j = 1, 2,.., 8)</a:t>
          </a:r>
          <a:endParaRPr lang="en-AU" sz="1600">
            <a:effectLst/>
          </a:endParaRPr>
        </a:p>
        <a:p>
          <a:pPr rtl="0" eaLnBrk="1" latinLnBrk="0" hangingPunct="1"/>
          <a:r>
            <a:rPr lang="en-AU" sz="16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AU" sz="16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Textbook pp 103-107</a:t>
          </a:r>
          <a:endParaRPr lang="en-AU" sz="1600">
            <a:effectLst/>
          </a:endParaRPr>
        </a:p>
        <a:p>
          <a:endParaRPr lang="en-AU" sz="1100"/>
        </a:p>
      </xdr:txBody>
    </xdr:sp>
    <xdr:clientData/>
  </xdr:oneCellAnchor>
  <xdr:twoCellAnchor>
    <xdr:from>
      <xdr:col>10</xdr:col>
      <xdr:colOff>114300</xdr:colOff>
      <xdr:row>18</xdr:row>
      <xdr:rowOff>83820</xdr:rowOff>
    </xdr:from>
    <xdr:to>
      <xdr:col>10</xdr:col>
      <xdr:colOff>396240</xdr:colOff>
      <xdr:row>19</xdr:row>
      <xdr:rowOff>7620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B0CA2F40-23DE-8FDE-A5B7-64E68663E784}"/>
            </a:ext>
          </a:extLst>
        </xdr:cNvPr>
        <xdr:cNvSpPr/>
      </xdr:nvSpPr>
      <xdr:spPr>
        <a:xfrm>
          <a:off x="7383780" y="3543300"/>
          <a:ext cx="281940" cy="114300"/>
        </a:xfrm>
        <a:prstGeom prst="leftArrow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190500</xdr:colOff>
      <xdr:row>27</xdr:row>
      <xdr:rowOff>53340</xdr:rowOff>
    </xdr:from>
    <xdr:to>
      <xdr:col>3</xdr:col>
      <xdr:colOff>548640</xdr:colOff>
      <xdr:row>27</xdr:row>
      <xdr:rowOff>182880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5FC272E0-E883-4675-BBCC-96A1C8E080C0}"/>
            </a:ext>
          </a:extLst>
        </xdr:cNvPr>
        <xdr:cNvSpPr/>
      </xdr:nvSpPr>
      <xdr:spPr>
        <a:xfrm>
          <a:off x="3086100" y="5227320"/>
          <a:ext cx="358140" cy="129540"/>
        </a:xfrm>
        <a:prstGeom prst="leftArrow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oneCellAnchor>
    <xdr:from>
      <xdr:col>18</xdr:col>
      <xdr:colOff>0</xdr:colOff>
      <xdr:row>21</xdr:row>
      <xdr:rowOff>0</xdr:rowOff>
    </xdr:from>
    <xdr:ext cx="7111434" cy="323896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1AE65F3-CDD5-4ED0-8FDF-3F816C199B3E}"/>
            </a:ext>
          </a:extLst>
        </xdr:cNvPr>
        <xdr:cNvSpPr txBox="1"/>
      </xdr:nvSpPr>
      <xdr:spPr>
        <a:xfrm>
          <a:off x="11074400" y="4106333"/>
          <a:ext cx="7111434" cy="323896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Let X1 ,X2 ... X8  denote the number of products of Model 1...8 produced  in Line 1 per month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Y1 ,Y2 ... Y8  denote the number of products of Model 1...8 produced  in Line 2per months</a:t>
          </a:r>
          <a:endParaRPr lang="en-AU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 sz="1400">
            <a:effectLst/>
          </a:endParaRPr>
        </a:p>
        <a:p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Maximise profit ($) :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 </a:t>
          </a:r>
          <a:r>
            <a:rPr lang="en-AU" sz="14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127.5 X1+132 X2+ 142 X3……</a:t>
          </a:r>
        </a:p>
        <a:p>
          <a:r>
            <a:rPr lang="en-AU" sz="14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                                                    122 Y1+127.5 Y2+………… + 174.5 Y8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Subject to: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4X1 + 4Y1 +5 X2 + 5Y2 + ……+ 6X8 + 6Y8       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20,000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(assembly time constraint)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1.5X1 + 2X2+ ……                             +3X8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5,000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(testing time constraint line 1) 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2Y1 + 2.5Y2+ ……                            +3.5Y8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6,000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(testing time constraint line 2) 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X1+Y1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			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1500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 model 1) 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X2+Y2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	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1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250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model 2)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		……..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	……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AU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X8+Y8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800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model 8)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  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X1, X2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…..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X8,</a:t>
          </a:r>
          <a:r>
            <a:rPr lang="en-AU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Y1.....Y8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 (non-negativity conditions)</a:t>
          </a:r>
        </a:p>
        <a:p>
          <a:endParaRPr lang="en-AU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2</xdr:row>
      <xdr:rowOff>0</xdr:rowOff>
    </xdr:from>
    <xdr:ext cx="7391400" cy="289451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80F7AA-754A-44A5-A96F-2BAFD3F39C4B}"/>
            </a:ext>
          </a:extLst>
        </xdr:cNvPr>
        <xdr:cNvSpPr txBox="1"/>
      </xdr:nvSpPr>
      <xdr:spPr>
        <a:xfrm>
          <a:off x="17358360" y="259080"/>
          <a:ext cx="7391400" cy="289451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time PCTech must decide how many of 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 models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assemble and test,when there are 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two lines for testing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.Computers can be tested on either line.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There are at most 20,000 assembly hours and 5000 hrs for line one and 6,000 hours of testing for line 2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Selling price and Cost of the parts are seperatly provided in the spredsheetSummary model</a:t>
          </a:r>
          <a:endParaRPr lang="en-AU" sz="1400">
            <a:effectLst/>
          </a:endParaRPr>
        </a:p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objective is unchanged - find the mix of computer models that maximises profit</a:t>
          </a:r>
          <a:endParaRPr lang="en-AU" sz="1400">
            <a:effectLst/>
          </a:endParaRPr>
        </a:p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 solve this in our lab session,but it is worth noting that the main complicating factor here is that we now have 16 decision variables - the number of each type of model to test on each line</a:t>
          </a:r>
        </a:p>
        <a:p>
          <a:pPr rtl="0" eaLnBrk="1" latinLnBrk="0" hangingPunct="1"/>
          <a:endParaRPr lang="en-AU" sz="1400">
            <a:effectLst/>
          </a:endParaRPr>
        </a:p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Let X</a:t>
          </a:r>
          <a:r>
            <a:rPr lang="en-AU" sz="1400" baseline="-17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Y</a:t>
          </a:r>
          <a:r>
            <a:rPr lang="en-AU" sz="1400" baseline="-17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denote the number of model j computers tested on lines 1 and 2 respectively (j = 1, 2,.., 8)</a:t>
          </a:r>
          <a:endParaRPr lang="en-AU" sz="1400">
            <a:effectLst/>
          </a:endParaRPr>
        </a:p>
        <a:p>
          <a:pPr rtl="0" eaLnBrk="1" latinLnBrk="0" hangingPunct="1"/>
          <a:r>
            <a:rPr lang="en-AU" sz="14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AU" sz="14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Textbook pp 103-107</a:t>
          </a:r>
          <a:endParaRPr lang="en-AU" sz="1400">
            <a:effectLst/>
          </a:endParaRPr>
        </a:p>
        <a:p>
          <a:endParaRPr lang="en-AU" sz="1100"/>
        </a:p>
      </xdr:txBody>
    </xdr:sp>
    <xdr:clientData/>
  </xdr:oneCellAnchor>
  <xdr:oneCellAnchor>
    <xdr:from>
      <xdr:col>17</xdr:col>
      <xdr:colOff>205740</xdr:colOff>
      <xdr:row>16</xdr:row>
      <xdr:rowOff>91440</xdr:rowOff>
    </xdr:from>
    <xdr:ext cx="7111434" cy="323896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960B6C-771F-4FE5-B8D0-35041D543280}"/>
            </a:ext>
          </a:extLst>
        </xdr:cNvPr>
        <xdr:cNvSpPr txBox="1"/>
      </xdr:nvSpPr>
      <xdr:spPr>
        <a:xfrm>
          <a:off x="17564100" y="3726180"/>
          <a:ext cx="7111434" cy="323896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Let X1 ,X2 ... X8  denote the number of products of Model 1...8 produced  in Line 1 per month</a:t>
          </a:r>
          <a:endParaRPr lang="en-AU" sz="1400">
            <a:effectLst/>
          </a:endParaRPr>
        </a:p>
        <a:p>
          <a:pPr eaLnBrk="1" fontAlgn="auto" latinLnBrk="0" hangingPunct="1"/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Y1 ,Y2 ... Y8  denote the number of products of Model 1...8 produced  in Line 2per months</a:t>
          </a:r>
          <a:endParaRPr lang="en-AU" sz="1400">
            <a:effectLst/>
          </a:endParaRPr>
        </a:p>
        <a:p>
          <a:endParaRPr lang="en-AU" sz="14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Maximise profit ($) :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 </a:t>
          </a:r>
          <a:r>
            <a:rPr lang="en-AU" sz="14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127.5 X1+132 X2+ 142 X3……</a:t>
          </a:r>
        </a:p>
        <a:p>
          <a:r>
            <a:rPr lang="en-AU" sz="14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                                                    122 Y1+127.5 Y2+………… + 174.5 Y8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Subject to: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4X1 + 4Y1 +5 X2 + 5Y2 + ……+ 6X8 + 6Y8       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20,000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(assembly time constraint)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1.5X1 + 2X2+ ……                             +3X8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5,000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(testing time constraint line 1) 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2Y1 + 2.5Y2+ ……                            +3.5Y8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6,000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(testing time constraint line 2) 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X1+Y1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			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1500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 model 1) 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X2+Y2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	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1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250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model 2)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		……..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	……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AU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X8+Y8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800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model 8)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  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X1, X2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…..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X8,</a:t>
          </a:r>
          <a:r>
            <a:rPr lang="en-AU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Y1.....Y8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 (non-negativity conditions)</a:t>
          </a:r>
        </a:p>
        <a:p>
          <a:endParaRPr lang="en-AU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0DFA-1C0C-4684-9D55-2AA44D1484CE}">
  <dimension ref="A1"/>
  <sheetViews>
    <sheetView workbookViewId="0">
      <selection activeCell="AE26" sqref="AE26"/>
    </sheetView>
  </sheetViews>
  <sheetFormatPr defaultRowHeight="10.199999999999999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1"/>
  <sheetViews>
    <sheetView showGridLines="0" tabSelected="1" topLeftCell="A7" zoomScale="90" zoomScaleNormal="90" workbookViewId="0">
      <selection activeCell="C23" sqref="C23"/>
    </sheetView>
  </sheetViews>
  <sheetFormatPr defaultColWidth="8.85546875" defaultRowHeight="14.4" x14ac:dyDescent="0.3"/>
  <cols>
    <col min="1" max="1" width="8.85546875" style="1" customWidth="1"/>
    <col min="2" max="2" width="28" style="1" bestFit="1" customWidth="1"/>
    <col min="3" max="3" width="11.7109375" style="14" customWidth="1"/>
    <col min="4" max="4" width="11.85546875" style="14" customWidth="1"/>
    <col min="5" max="5" width="8.85546875" style="14"/>
    <col min="6" max="6" width="8.140625" style="14" customWidth="1"/>
    <col min="7" max="7" width="8.7109375" style="14" customWidth="1"/>
    <col min="8" max="8" width="8.7109375" style="1" customWidth="1"/>
    <col min="9" max="16384" width="8.85546875" style="1"/>
  </cols>
  <sheetData>
    <row r="2" spans="2:4" ht="25.8" x14ac:dyDescent="0.5">
      <c r="B2" s="13" t="s">
        <v>56</v>
      </c>
    </row>
    <row r="4" spans="2:4" x14ac:dyDescent="0.3">
      <c r="B4" s="4" t="s">
        <v>51</v>
      </c>
      <c r="C4" s="15"/>
      <c r="D4" s="15"/>
    </row>
    <row r="5" spans="2:4" x14ac:dyDescent="0.3">
      <c r="B5" s="2" t="s">
        <v>12</v>
      </c>
      <c r="C5" s="27">
        <v>11</v>
      </c>
      <c r="D5" s="15"/>
    </row>
    <row r="6" spans="2:4" x14ac:dyDescent="0.3">
      <c r="B6" s="2" t="s">
        <v>13</v>
      </c>
      <c r="C6" s="27">
        <v>15</v>
      </c>
      <c r="D6" s="15"/>
    </row>
    <row r="7" spans="2:4" x14ac:dyDescent="0.3">
      <c r="B7" s="2"/>
      <c r="C7" s="17"/>
      <c r="D7" s="15"/>
    </row>
    <row r="8" spans="2:4" x14ac:dyDescent="0.3">
      <c r="B8" s="6" t="s">
        <v>50</v>
      </c>
      <c r="C8" s="17"/>
      <c r="D8" s="15"/>
    </row>
    <row r="9" spans="2:4" x14ac:dyDescent="0.3">
      <c r="B9" s="6"/>
      <c r="C9" s="15" t="s">
        <v>6</v>
      </c>
      <c r="D9" s="15" t="s">
        <v>7</v>
      </c>
    </row>
    <row r="10" spans="2:4" x14ac:dyDescent="0.3">
      <c r="B10" s="3" t="s">
        <v>15</v>
      </c>
      <c r="C10" s="28">
        <v>5</v>
      </c>
      <c r="D10" s="28">
        <v>6</v>
      </c>
    </row>
    <row r="11" spans="2:4" x14ac:dyDescent="0.3">
      <c r="B11" s="3" t="s">
        <v>16</v>
      </c>
      <c r="C11" s="28">
        <v>1</v>
      </c>
      <c r="D11" s="28">
        <v>2</v>
      </c>
    </row>
    <row r="12" spans="2:4" x14ac:dyDescent="0.3">
      <c r="B12" s="2" t="s">
        <v>14</v>
      </c>
      <c r="C12" s="23">
        <v>150</v>
      </c>
      <c r="D12" s="23">
        <v>225</v>
      </c>
    </row>
    <row r="13" spans="2:4" ht="14.55" customHeight="1" x14ac:dyDescent="0.3">
      <c r="B13" s="3" t="s">
        <v>8</v>
      </c>
      <c r="C13" s="23">
        <v>300</v>
      </c>
      <c r="D13" s="23">
        <v>450</v>
      </c>
    </row>
    <row r="14" spans="2:4" ht="15" customHeight="1" x14ac:dyDescent="0.3"/>
    <row r="15" spans="2:4" ht="15" customHeight="1" x14ac:dyDescent="0.3">
      <c r="B15" s="73" t="s">
        <v>0</v>
      </c>
      <c r="C15" s="73"/>
      <c r="D15" s="73"/>
    </row>
    <row r="16" spans="2:4" ht="15" customHeight="1" x14ac:dyDescent="0.3">
      <c r="C16" s="15" t="s">
        <v>6</v>
      </c>
      <c r="D16" s="15" t="s">
        <v>7</v>
      </c>
    </row>
    <row r="17" spans="2:7" ht="15" customHeight="1" x14ac:dyDescent="0.35">
      <c r="B17" s="10" t="s">
        <v>45</v>
      </c>
      <c r="C17" s="22">
        <v>560</v>
      </c>
      <c r="D17" s="22">
        <v>1200</v>
      </c>
      <c r="F17" s="70" t="s">
        <v>111</v>
      </c>
    </row>
    <row r="18" spans="2:7" ht="15" customHeight="1" x14ac:dyDescent="0.3"/>
    <row r="19" spans="2:7" ht="15" customHeight="1" x14ac:dyDescent="0.3">
      <c r="B19" s="73" t="s">
        <v>1</v>
      </c>
      <c r="C19" s="73"/>
      <c r="D19" s="73"/>
    </row>
    <row r="20" spans="2:7" ht="15" customHeight="1" x14ac:dyDescent="0.3">
      <c r="C20" s="11" t="str">
        <f>C16</f>
        <v>Basic</v>
      </c>
      <c r="D20" s="11" t="str">
        <f>D16</f>
        <v>XP</v>
      </c>
    </row>
    <row r="21" spans="2:7" ht="15" customHeight="1" x14ac:dyDescent="0.3">
      <c r="B21" s="1" t="s">
        <v>9</v>
      </c>
      <c r="C21" s="23">
        <f>C13-C12-C10*$C5-C11*$C6</f>
        <v>80</v>
      </c>
      <c r="D21" s="23">
        <f>D13-D12-D10*$C5-D11*$C6</f>
        <v>129</v>
      </c>
    </row>
    <row r="22" spans="2:7" ht="15" customHeight="1" x14ac:dyDescent="0.3">
      <c r="C22" s="24"/>
      <c r="D22" s="24"/>
    </row>
    <row r="23" spans="2:7" ht="15" customHeight="1" x14ac:dyDescent="0.35">
      <c r="B23" s="10" t="s">
        <v>46</v>
      </c>
      <c r="C23" s="71">
        <f>SUMPRODUCT(C21:D21,C17:D17)</f>
        <v>199600</v>
      </c>
      <c r="E23" s="70" t="s">
        <v>110</v>
      </c>
    </row>
    <row r="24" spans="2:7" ht="15" customHeight="1" x14ac:dyDescent="0.3"/>
    <row r="25" spans="2:7" ht="15" customHeight="1" x14ac:dyDescent="0.3">
      <c r="B25" s="4" t="s">
        <v>2</v>
      </c>
    </row>
    <row r="26" spans="2:7" x14ac:dyDescent="0.3">
      <c r="C26" s="15"/>
      <c r="D26" s="15"/>
      <c r="E26" s="15" t="s">
        <v>5</v>
      </c>
      <c r="F26" s="15"/>
      <c r="G26" s="15" t="s">
        <v>17</v>
      </c>
    </row>
    <row r="27" spans="2:7" x14ac:dyDescent="0.3">
      <c r="C27" s="11" t="str">
        <f>C16</f>
        <v>Basic</v>
      </c>
      <c r="D27" s="11" t="str">
        <f>D16</f>
        <v>XP</v>
      </c>
      <c r="E27" s="11" t="s">
        <v>4</v>
      </c>
      <c r="F27" s="11"/>
      <c r="G27" s="11" t="s">
        <v>3</v>
      </c>
    </row>
    <row r="28" spans="2:7" x14ac:dyDescent="0.3">
      <c r="B28" s="1" t="s">
        <v>10</v>
      </c>
      <c r="C28" s="18">
        <f>C10</f>
        <v>5</v>
      </c>
      <c r="D28" s="18">
        <f>D10</f>
        <v>6</v>
      </c>
      <c r="E28" s="26">
        <f>SUMPRODUCT(C28:D28,$C$17:$D$17)</f>
        <v>10000</v>
      </c>
      <c r="F28" s="5" t="s">
        <v>18</v>
      </c>
      <c r="G28" s="18">
        <v>10000</v>
      </c>
    </row>
    <row r="29" spans="2:7" x14ac:dyDescent="0.3">
      <c r="B29" s="1" t="s">
        <v>11</v>
      </c>
      <c r="C29" s="18">
        <f>C11</f>
        <v>1</v>
      </c>
      <c r="D29" s="18">
        <f>D11</f>
        <v>2</v>
      </c>
      <c r="E29" s="26">
        <f t="shared" ref="E29:E30" si="0">SUMPRODUCT(C29:D29,$C$17:$D$17)</f>
        <v>2960</v>
      </c>
      <c r="F29" s="5" t="s">
        <v>18</v>
      </c>
      <c r="G29" s="18">
        <v>3000</v>
      </c>
    </row>
    <row r="30" spans="2:7" x14ac:dyDescent="0.3">
      <c r="B30" s="1" t="s">
        <v>19</v>
      </c>
      <c r="C30" s="19">
        <v>1</v>
      </c>
      <c r="D30" s="19">
        <v>0</v>
      </c>
      <c r="E30" s="26">
        <f t="shared" si="0"/>
        <v>560</v>
      </c>
      <c r="F30" s="5" t="s">
        <v>18</v>
      </c>
      <c r="G30" s="19">
        <v>600</v>
      </c>
    </row>
    <row r="31" spans="2:7" x14ac:dyDescent="0.3">
      <c r="B31" s="1" t="s">
        <v>20</v>
      </c>
      <c r="C31" s="19">
        <v>0</v>
      </c>
      <c r="D31" s="19">
        <v>1</v>
      </c>
      <c r="E31" s="26">
        <f>SUMPRODUCT(C31:D31,$C$17:$D$17)</f>
        <v>1200</v>
      </c>
      <c r="F31" s="5" t="s">
        <v>18</v>
      </c>
      <c r="G31" s="19">
        <v>1200</v>
      </c>
    </row>
  </sheetData>
  <mergeCells count="2">
    <mergeCell ref="B15:D15"/>
    <mergeCell ref="B19:D19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48"/>
  <sheetViews>
    <sheetView showGridLines="0" topLeftCell="A17" zoomScale="90" zoomScaleNormal="90" workbookViewId="0">
      <selection activeCell="S22" sqref="S22"/>
    </sheetView>
  </sheetViews>
  <sheetFormatPr defaultColWidth="8.85546875" defaultRowHeight="14.4" x14ac:dyDescent="0.3"/>
  <cols>
    <col min="1" max="1" width="8.85546875" style="1" customWidth="1"/>
    <col min="2" max="2" width="33.7109375" style="1" customWidth="1"/>
    <col min="3" max="10" width="11.7109375" style="14" customWidth="1"/>
    <col min="11" max="13" width="8.85546875" style="14"/>
    <col min="14" max="16384" width="8.85546875" style="1"/>
  </cols>
  <sheetData>
    <row r="2" spans="2:10" ht="25.8" x14ac:dyDescent="0.5">
      <c r="B2" s="13" t="s">
        <v>55</v>
      </c>
    </row>
    <row r="4" spans="2:10" x14ac:dyDescent="0.3">
      <c r="B4" s="4" t="s">
        <v>51</v>
      </c>
      <c r="C4" s="15"/>
      <c r="D4" s="15"/>
    </row>
    <row r="5" spans="2:10" x14ac:dyDescent="0.3">
      <c r="B5" s="2" t="s">
        <v>12</v>
      </c>
      <c r="C5" s="16">
        <v>11</v>
      </c>
      <c r="D5" s="15"/>
    </row>
    <row r="6" spans="2:10" x14ac:dyDescent="0.3">
      <c r="B6" s="8" t="s">
        <v>39</v>
      </c>
      <c r="C6" s="16">
        <v>19</v>
      </c>
      <c r="D6" s="15"/>
    </row>
    <row r="7" spans="2:10" x14ac:dyDescent="0.3">
      <c r="B7" s="8" t="s">
        <v>40</v>
      </c>
      <c r="C7" s="16">
        <v>17</v>
      </c>
      <c r="D7" s="15"/>
    </row>
    <row r="8" spans="2:10" x14ac:dyDescent="0.3">
      <c r="B8" s="2"/>
      <c r="C8" s="17"/>
      <c r="D8" s="15"/>
    </row>
    <row r="9" spans="2:10" x14ac:dyDescent="0.3">
      <c r="B9" s="6" t="s">
        <v>50</v>
      </c>
      <c r="C9" s="17"/>
      <c r="D9" s="15"/>
    </row>
    <row r="10" spans="2:10" x14ac:dyDescent="0.3">
      <c r="B10" s="6"/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11" t="s">
        <v>26</v>
      </c>
      <c r="I10" s="11" t="s">
        <v>27</v>
      </c>
      <c r="J10" s="11" t="s">
        <v>28</v>
      </c>
    </row>
    <row r="11" spans="2:10" x14ac:dyDescent="0.3">
      <c r="B11" s="3" t="s">
        <v>15</v>
      </c>
      <c r="C11" s="18">
        <v>4</v>
      </c>
      <c r="D11" s="18">
        <v>5</v>
      </c>
      <c r="E11" s="19">
        <v>5</v>
      </c>
      <c r="F11" s="19">
        <v>5</v>
      </c>
      <c r="G11" s="19">
        <v>5.5</v>
      </c>
      <c r="H11" s="19">
        <v>5.5</v>
      </c>
      <c r="I11" s="19">
        <v>5.5</v>
      </c>
      <c r="J11" s="19">
        <v>6</v>
      </c>
    </row>
    <row r="12" spans="2:10" x14ac:dyDescent="0.3">
      <c r="B12" s="9" t="s">
        <v>41</v>
      </c>
      <c r="C12" s="18">
        <v>1.5</v>
      </c>
      <c r="D12" s="18">
        <v>2</v>
      </c>
      <c r="E12" s="19">
        <v>2</v>
      </c>
      <c r="F12" s="19">
        <v>2</v>
      </c>
      <c r="G12" s="19">
        <v>2.5</v>
      </c>
      <c r="H12" s="19">
        <v>2.5</v>
      </c>
      <c r="I12" s="19">
        <v>2.5</v>
      </c>
      <c r="J12" s="19">
        <v>3</v>
      </c>
    </row>
    <row r="13" spans="2:10" x14ac:dyDescent="0.3">
      <c r="B13" s="9" t="s">
        <v>42</v>
      </c>
      <c r="C13" s="18">
        <v>2</v>
      </c>
      <c r="D13" s="18">
        <v>2.5</v>
      </c>
      <c r="E13" s="19">
        <v>2.5</v>
      </c>
      <c r="F13" s="19">
        <v>2.5</v>
      </c>
      <c r="G13" s="19">
        <v>3</v>
      </c>
      <c r="H13" s="19">
        <v>3</v>
      </c>
      <c r="I13" s="19">
        <v>3.5</v>
      </c>
      <c r="J13" s="19">
        <v>3.5</v>
      </c>
    </row>
    <row r="14" spans="2:10" x14ac:dyDescent="0.3">
      <c r="B14" s="2" t="s">
        <v>14</v>
      </c>
      <c r="C14" s="20">
        <v>150</v>
      </c>
      <c r="D14" s="20">
        <v>225</v>
      </c>
      <c r="E14" s="21">
        <v>225</v>
      </c>
      <c r="F14" s="21">
        <v>225</v>
      </c>
      <c r="G14" s="21">
        <v>250</v>
      </c>
      <c r="H14" s="21">
        <v>250</v>
      </c>
      <c r="I14" s="21">
        <v>250</v>
      </c>
      <c r="J14" s="21">
        <v>300</v>
      </c>
    </row>
    <row r="15" spans="2:10" ht="14.55" customHeight="1" x14ac:dyDescent="0.3">
      <c r="B15" s="3" t="s">
        <v>8</v>
      </c>
      <c r="C15" s="20">
        <v>350</v>
      </c>
      <c r="D15" s="20">
        <v>450</v>
      </c>
      <c r="E15" s="21">
        <v>460</v>
      </c>
      <c r="F15" s="21">
        <v>470</v>
      </c>
      <c r="G15" s="21">
        <v>500</v>
      </c>
      <c r="H15" s="21">
        <v>525</v>
      </c>
      <c r="I15" s="21">
        <v>530</v>
      </c>
      <c r="J15" s="21">
        <v>600</v>
      </c>
    </row>
    <row r="16" spans="2:10" ht="15" customHeight="1" x14ac:dyDescent="0.3"/>
    <row r="17" spans="2:13" ht="15" customHeight="1" x14ac:dyDescent="0.3">
      <c r="B17" s="4" t="s">
        <v>0</v>
      </c>
      <c r="C17" s="15"/>
      <c r="D17" s="15"/>
    </row>
    <row r="18" spans="2:13" ht="15" customHeight="1" x14ac:dyDescent="0.3">
      <c r="C18" s="11" t="s">
        <v>21</v>
      </c>
      <c r="D18" s="11" t="s">
        <v>22</v>
      </c>
      <c r="E18" s="11" t="s">
        <v>23</v>
      </c>
      <c r="F18" s="11" t="s">
        <v>24</v>
      </c>
      <c r="G18" s="11" t="s">
        <v>25</v>
      </c>
      <c r="H18" s="11" t="s">
        <v>26</v>
      </c>
      <c r="I18" s="11" t="s">
        <v>27</v>
      </c>
      <c r="J18" s="11" t="s">
        <v>28</v>
      </c>
    </row>
    <row r="19" spans="2:13" ht="15" customHeight="1" x14ac:dyDescent="0.35">
      <c r="B19" s="29" t="s">
        <v>47</v>
      </c>
      <c r="C19" s="22">
        <v>1500</v>
      </c>
      <c r="D19" s="22">
        <v>0</v>
      </c>
      <c r="E19" s="22">
        <v>0</v>
      </c>
      <c r="F19" s="22">
        <v>124.99999999999989</v>
      </c>
      <c r="G19" s="22">
        <v>0</v>
      </c>
      <c r="H19" s="22">
        <v>0</v>
      </c>
      <c r="I19" s="22">
        <v>1000</v>
      </c>
      <c r="J19" s="22">
        <v>0</v>
      </c>
      <c r="L19" s="70" t="s">
        <v>111</v>
      </c>
    </row>
    <row r="20" spans="2:13" ht="15" customHeight="1" x14ac:dyDescent="0.3">
      <c r="B20" s="10" t="s">
        <v>48</v>
      </c>
      <c r="C20" s="22">
        <v>0</v>
      </c>
      <c r="D20" s="22">
        <v>0</v>
      </c>
      <c r="E20" s="22">
        <v>0</v>
      </c>
      <c r="F20" s="22">
        <v>474.99999999999994</v>
      </c>
      <c r="G20" s="22">
        <v>0</v>
      </c>
      <c r="H20" s="22">
        <v>1000</v>
      </c>
      <c r="I20" s="22">
        <v>0</v>
      </c>
      <c r="J20" s="22">
        <v>0</v>
      </c>
    </row>
    <row r="21" spans="2:13" ht="15" customHeight="1" x14ac:dyDescent="0.3">
      <c r="B21" s="7"/>
    </row>
    <row r="22" spans="2:13" ht="15" customHeight="1" x14ac:dyDescent="0.3">
      <c r="B22" s="7"/>
    </row>
    <row r="23" spans="2:13" ht="15" customHeight="1" x14ac:dyDescent="0.3">
      <c r="B23" s="4" t="s">
        <v>1</v>
      </c>
      <c r="C23" s="15"/>
      <c r="D23" s="15"/>
    </row>
    <row r="24" spans="2:13" ht="15" customHeight="1" x14ac:dyDescent="0.3">
      <c r="C24" s="11" t="s">
        <v>21</v>
      </c>
      <c r="D24" s="11" t="s">
        <v>22</v>
      </c>
      <c r="E24" s="11" t="s">
        <v>23</v>
      </c>
      <c r="F24" s="11" t="s">
        <v>24</v>
      </c>
      <c r="G24" s="11" t="s">
        <v>25</v>
      </c>
      <c r="H24" s="11" t="s">
        <v>26</v>
      </c>
      <c r="I24" s="11" t="s">
        <v>27</v>
      </c>
      <c r="J24" s="11" t="s">
        <v>28</v>
      </c>
    </row>
    <row r="25" spans="2:13" ht="15" customHeight="1" x14ac:dyDescent="0.3">
      <c r="B25" s="7" t="s">
        <v>43</v>
      </c>
      <c r="C25" s="72">
        <f t="shared" ref="C25:J26" si="0">C$15-C$14-C$11*$C$5-C12*$C6</f>
        <v>127.5</v>
      </c>
      <c r="D25" s="72">
        <f t="shared" si="0"/>
        <v>132</v>
      </c>
      <c r="E25" s="72">
        <f t="shared" si="0"/>
        <v>142</v>
      </c>
      <c r="F25" s="72">
        <f t="shared" si="0"/>
        <v>152</v>
      </c>
      <c r="G25" s="72">
        <f t="shared" si="0"/>
        <v>142</v>
      </c>
      <c r="H25" s="72">
        <f t="shared" si="0"/>
        <v>167</v>
      </c>
      <c r="I25" s="72">
        <f t="shared" si="0"/>
        <v>172</v>
      </c>
      <c r="J25" s="72">
        <f t="shared" si="0"/>
        <v>177</v>
      </c>
    </row>
    <row r="26" spans="2:13" ht="15" customHeight="1" x14ac:dyDescent="0.3">
      <c r="B26" s="7" t="s">
        <v>44</v>
      </c>
      <c r="C26" s="72">
        <f t="shared" si="0"/>
        <v>122</v>
      </c>
      <c r="D26" s="72">
        <f t="shared" si="0"/>
        <v>127.5</v>
      </c>
      <c r="E26" s="72">
        <f t="shared" si="0"/>
        <v>137.5</v>
      </c>
      <c r="F26" s="72">
        <f t="shared" si="0"/>
        <v>147.5</v>
      </c>
      <c r="G26" s="72">
        <f t="shared" si="0"/>
        <v>138.5</v>
      </c>
      <c r="H26" s="72">
        <f t="shared" si="0"/>
        <v>163.5</v>
      </c>
      <c r="I26" s="72">
        <f t="shared" si="0"/>
        <v>160</v>
      </c>
      <c r="J26" s="72">
        <f t="shared" si="0"/>
        <v>174.5</v>
      </c>
    </row>
    <row r="27" spans="2:13" ht="15" customHeight="1" x14ac:dyDescent="0.3">
      <c r="C27" s="24"/>
      <c r="D27" s="24"/>
    </row>
    <row r="28" spans="2:13" ht="15" customHeight="1" x14ac:dyDescent="0.35">
      <c r="B28" s="10" t="s">
        <v>46</v>
      </c>
      <c r="C28" s="25">
        <f>SUMPRODUCT(C19:J20,C25:J26)</f>
        <v>615812.5</v>
      </c>
      <c r="E28" s="70" t="s">
        <v>110</v>
      </c>
    </row>
    <row r="29" spans="2:13" ht="15" customHeight="1" x14ac:dyDescent="0.3"/>
    <row r="30" spans="2:13" ht="15" customHeight="1" x14ac:dyDescent="0.3">
      <c r="B30" s="4" t="s">
        <v>2</v>
      </c>
    </row>
    <row r="31" spans="2:13" x14ac:dyDescent="0.3">
      <c r="C31" s="15"/>
      <c r="D31" s="15"/>
      <c r="E31" s="15"/>
      <c r="F31" s="15"/>
      <c r="G31" s="15"/>
      <c r="H31" s="15"/>
      <c r="I31" s="15"/>
      <c r="J31" s="15"/>
      <c r="K31" s="15" t="s">
        <v>5</v>
      </c>
      <c r="L31" s="15"/>
      <c r="M31" s="15" t="s">
        <v>17</v>
      </c>
    </row>
    <row r="32" spans="2:13" x14ac:dyDescent="0.3">
      <c r="C32" s="11" t="s">
        <v>21</v>
      </c>
      <c r="D32" s="11" t="s">
        <v>22</v>
      </c>
      <c r="E32" s="11" t="s">
        <v>23</v>
      </c>
      <c r="F32" s="11" t="s">
        <v>24</v>
      </c>
      <c r="G32" s="11" t="s">
        <v>25</v>
      </c>
      <c r="H32" s="11" t="s">
        <v>26</v>
      </c>
      <c r="I32" s="11" t="s">
        <v>27</v>
      </c>
      <c r="J32" s="11" t="s">
        <v>28</v>
      </c>
      <c r="K32" s="11" t="s">
        <v>4</v>
      </c>
      <c r="L32" s="11"/>
      <c r="M32" s="11" t="s">
        <v>3</v>
      </c>
    </row>
    <row r="33" spans="2:17" x14ac:dyDescent="0.3">
      <c r="B33" s="1" t="s">
        <v>10</v>
      </c>
      <c r="C33" s="18">
        <f>C11</f>
        <v>4</v>
      </c>
      <c r="D33" s="18">
        <f t="shared" ref="D33:J33" si="1">D11</f>
        <v>5</v>
      </c>
      <c r="E33" s="18">
        <f t="shared" si="1"/>
        <v>5</v>
      </c>
      <c r="F33" s="18">
        <f t="shared" si="1"/>
        <v>5</v>
      </c>
      <c r="G33" s="18">
        <f t="shared" si="1"/>
        <v>5.5</v>
      </c>
      <c r="H33" s="18">
        <f t="shared" si="1"/>
        <v>5.5</v>
      </c>
      <c r="I33" s="18">
        <f t="shared" si="1"/>
        <v>5.5</v>
      </c>
      <c r="J33" s="18">
        <f t="shared" si="1"/>
        <v>6</v>
      </c>
      <c r="K33" s="26">
        <f>SUMPRODUCT(C19:J19,C33:J33)+SUMPRODUCT(C20:J20,C33:J33)</f>
        <v>20000</v>
      </c>
      <c r="L33" s="5" t="s">
        <v>18</v>
      </c>
      <c r="M33" s="18">
        <v>20000</v>
      </c>
    </row>
    <row r="34" spans="2:17" x14ac:dyDescent="0.3">
      <c r="B34" s="7" t="s">
        <v>37</v>
      </c>
      <c r="C34" s="18">
        <f>C12</f>
        <v>1.5</v>
      </c>
      <c r="D34" s="18">
        <f t="shared" ref="D34:J35" si="2">D12</f>
        <v>2</v>
      </c>
      <c r="E34" s="18">
        <f t="shared" si="2"/>
        <v>2</v>
      </c>
      <c r="F34" s="18">
        <f t="shared" si="2"/>
        <v>2</v>
      </c>
      <c r="G34" s="18">
        <f t="shared" si="2"/>
        <v>2.5</v>
      </c>
      <c r="H34" s="18">
        <f t="shared" si="2"/>
        <v>2.5</v>
      </c>
      <c r="I34" s="18">
        <f t="shared" si="2"/>
        <v>2.5</v>
      </c>
      <c r="J34" s="18">
        <f t="shared" si="2"/>
        <v>3</v>
      </c>
      <c r="K34" s="26">
        <f>SUMPRODUCT(C$19:J$19,C34:J34)</f>
        <v>5000</v>
      </c>
      <c r="L34" s="5" t="s">
        <v>18</v>
      </c>
      <c r="M34" s="18">
        <v>5000</v>
      </c>
    </row>
    <row r="35" spans="2:17" x14ac:dyDescent="0.3">
      <c r="B35" s="7" t="s">
        <v>38</v>
      </c>
      <c r="C35" s="18">
        <f>C13</f>
        <v>2</v>
      </c>
      <c r="D35" s="18">
        <f t="shared" si="2"/>
        <v>2.5</v>
      </c>
      <c r="E35" s="18">
        <f t="shared" si="2"/>
        <v>2.5</v>
      </c>
      <c r="F35" s="18">
        <f t="shared" si="2"/>
        <v>2.5</v>
      </c>
      <c r="G35" s="18">
        <f t="shared" si="2"/>
        <v>3</v>
      </c>
      <c r="H35" s="18">
        <f t="shared" si="2"/>
        <v>3</v>
      </c>
      <c r="I35" s="18">
        <f t="shared" si="2"/>
        <v>3.5</v>
      </c>
      <c r="J35" s="18">
        <f t="shared" si="2"/>
        <v>3.5</v>
      </c>
      <c r="K35" s="26">
        <f>SUMPRODUCT(C$20:J$20,C35:J35)</f>
        <v>4187.5</v>
      </c>
      <c r="L35" s="5" t="s">
        <v>18</v>
      </c>
      <c r="M35" s="18">
        <v>6000</v>
      </c>
    </row>
    <row r="36" spans="2:17" x14ac:dyDescent="0.3">
      <c r="B36" s="7" t="s">
        <v>29</v>
      </c>
      <c r="C36" s="19">
        <v>1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26">
        <f>SUMPRODUCT(C$19:J$19,C36:J36)+SUMPRODUCT(C$20:J$20,C36:J36)</f>
        <v>1500</v>
      </c>
      <c r="L36" s="5" t="s">
        <v>18</v>
      </c>
      <c r="M36" s="19">
        <v>1500</v>
      </c>
    </row>
    <row r="37" spans="2:17" x14ac:dyDescent="0.3">
      <c r="B37" s="7" t="s">
        <v>30</v>
      </c>
      <c r="C37" s="19">
        <v>0</v>
      </c>
      <c r="D37" s="19">
        <v>1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26">
        <f t="shared" ref="K37:K43" si="3">SUMPRODUCT(C$19:J$19,C37:J37)+SUMPRODUCT(C$20:J$20,C37:J37)</f>
        <v>0</v>
      </c>
      <c r="L37" s="5" t="s">
        <v>18</v>
      </c>
      <c r="M37" s="19">
        <v>1250</v>
      </c>
    </row>
    <row r="38" spans="2:17" x14ac:dyDescent="0.3">
      <c r="B38" s="7" t="s">
        <v>31</v>
      </c>
      <c r="C38" s="19">
        <v>0</v>
      </c>
      <c r="D38" s="19">
        <v>0</v>
      </c>
      <c r="E38" s="19">
        <v>1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26">
        <f t="shared" si="3"/>
        <v>0</v>
      </c>
      <c r="L38" s="5" t="s">
        <v>18</v>
      </c>
      <c r="M38" s="19">
        <v>1250</v>
      </c>
    </row>
    <row r="39" spans="2:17" x14ac:dyDescent="0.3">
      <c r="B39" s="7" t="s">
        <v>32</v>
      </c>
      <c r="C39" s="19">
        <v>0</v>
      </c>
      <c r="D39" s="19">
        <v>0</v>
      </c>
      <c r="E39" s="19">
        <v>0</v>
      </c>
      <c r="F39" s="19">
        <v>1</v>
      </c>
      <c r="G39" s="19">
        <v>0</v>
      </c>
      <c r="H39" s="19">
        <v>0</v>
      </c>
      <c r="I39" s="19">
        <v>0</v>
      </c>
      <c r="J39" s="19">
        <v>0</v>
      </c>
      <c r="K39" s="26">
        <f t="shared" si="3"/>
        <v>599.99999999999977</v>
      </c>
      <c r="L39" s="5" t="s">
        <v>18</v>
      </c>
      <c r="M39" s="19">
        <v>1250</v>
      </c>
    </row>
    <row r="40" spans="2:17" x14ac:dyDescent="0.3">
      <c r="B40" s="7" t="s">
        <v>33</v>
      </c>
      <c r="C40" s="19">
        <v>0</v>
      </c>
      <c r="D40" s="19">
        <v>0</v>
      </c>
      <c r="E40" s="19">
        <v>0</v>
      </c>
      <c r="F40" s="19">
        <v>0</v>
      </c>
      <c r="G40" s="19">
        <v>1</v>
      </c>
      <c r="H40" s="19">
        <v>0</v>
      </c>
      <c r="I40" s="19">
        <v>0</v>
      </c>
      <c r="J40" s="19">
        <v>0</v>
      </c>
      <c r="K40" s="26">
        <f t="shared" si="3"/>
        <v>0</v>
      </c>
      <c r="L40" s="5" t="s">
        <v>18</v>
      </c>
      <c r="M40" s="19">
        <v>1000</v>
      </c>
    </row>
    <row r="41" spans="2:17" x14ac:dyDescent="0.3">
      <c r="B41" s="7" t="s">
        <v>34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1</v>
      </c>
      <c r="I41" s="19">
        <v>0</v>
      </c>
      <c r="J41" s="19">
        <v>0</v>
      </c>
      <c r="K41" s="26">
        <f t="shared" si="3"/>
        <v>1000</v>
      </c>
      <c r="L41" s="5" t="s">
        <v>18</v>
      </c>
      <c r="M41" s="19">
        <v>1000</v>
      </c>
    </row>
    <row r="42" spans="2:17" x14ac:dyDescent="0.3">
      <c r="B42" s="7" t="s">
        <v>35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1</v>
      </c>
      <c r="J42" s="19">
        <v>0</v>
      </c>
      <c r="K42" s="26">
        <f t="shared" si="3"/>
        <v>1000</v>
      </c>
      <c r="L42" s="5" t="s">
        <v>18</v>
      </c>
      <c r="M42" s="19">
        <v>1000</v>
      </c>
    </row>
    <row r="43" spans="2:17" x14ac:dyDescent="0.3">
      <c r="B43" s="7" t="s">
        <v>36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1</v>
      </c>
      <c r="K43" s="26">
        <f t="shared" si="3"/>
        <v>0</v>
      </c>
      <c r="L43" s="5" t="s">
        <v>18</v>
      </c>
      <c r="M43" s="19">
        <v>800</v>
      </c>
    </row>
    <row r="48" spans="2:17" x14ac:dyDescent="0.3">
      <c r="Q48" s="10" t="s">
        <v>49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B33E-8C13-4FD5-B652-E4EAED95E33A}">
  <dimension ref="D2:P35"/>
  <sheetViews>
    <sheetView topLeftCell="M8" workbookViewId="0">
      <selection activeCell="H19" sqref="H19"/>
    </sheetView>
  </sheetViews>
  <sheetFormatPr defaultRowHeight="10.199999999999999" x14ac:dyDescent="0.2"/>
  <cols>
    <col min="5" max="5" width="32.85546875" customWidth="1"/>
    <col min="6" max="6" width="30.42578125" customWidth="1"/>
    <col min="7" max="13" width="23.5703125" customWidth="1"/>
    <col min="14" max="14" width="12.5703125" customWidth="1"/>
    <col min="15" max="15" width="17.42578125" customWidth="1"/>
    <col min="16" max="21" width="15.28515625" customWidth="1"/>
  </cols>
  <sheetData>
    <row r="2" spans="4:16" x14ac:dyDescent="0.2">
      <c r="D2" t="s">
        <v>65</v>
      </c>
    </row>
    <row r="3" spans="4:16" ht="16.2" thickBot="1" x14ac:dyDescent="0.35">
      <c r="E3" s="30"/>
      <c r="F3" s="33" t="s">
        <v>21</v>
      </c>
      <c r="G3" s="33" t="s">
        <v>22</v>
      </c>
      <c r="H3" s="33" t="s">
        <v>23</v>
      </c>
      <c r="I3" s="33" t="s">
        <v>24</v>
      </c>
      <c r="J3" s="33" t="s">
        <v>25</v>
      </c>
      <c r="K3" s="33" t="s">
        <v>26</v>
      </c>
      <c r="L3" s="33" t="s">
        <v>27</v>
      </c>
      <c r="M3" s="33" t="s">
        <v>28</v>
      </c>
    </row>
    <row r="4" spans="4:16" ht="16.2" thickBot="1" x14ac:dyDescent="0.25">
      <c r="E4" s="34" t="s">
        <v>47</v>
      </c>
      <c r="F4" s="35" t="s">
        <v>66</v>
      </c>
      <c r="G4" s="36" t="s">
        <v>67</v>
      </c>
      <c r="H4" s="35" t="s">
        <v>68</v>
      </c>
      <c r="I4" s="36" t="s">
        <v>69</v>
      </c>
      <c r="J4" s="35" t="s">
        <v>70</v>
      </c>
      <c r="K4" s="36" t="s">
        <v>71</v>
      </c>
      <c r="L4" s="35" t="s">
        <v>72</v>
      </c>
      <c r="M4" s="36" t="s">
        <v>73</v>
      </c>
    </row>
    <row r="5" spans="4:16" ht="16.2" thickBot="1" x14ac:dyDescent="0.25">
      <c r="E5" s="34" t="s">
        <v>48</v>
      </c>
      <c r="F5" s="37" t="s">
        <v>74</v>
      </c>
      <c r="G5" s="38" t="s">
        <v>75</v>
      </c>
      <c r="H5" s="37" t="s">
        <v>76</v>
      </c>
      <c r="I5" s="38" t="s">
        <v>77</v>
      </c>
      <c r="J5" s="37" t="s">
        <v>78</v>
      </c>
      <c r="K5" s="38" t="s">
        <v>79</v>
      </c>
      <c r="L5" s="37" t="s">
        <v>80</v>
      </c>
      <c r="M5" s="38" t="s">
        <v>81</v>
      </c>
    </row>
    <row r="6" spans="4:16" ht="15.6" x14ac:dyDescent="0.2">
      <c r="E6" s="39"/>
    </row>
    <row r="7" spans="4:16" ht="16.2" thickBot="1" x14ac:dyDescent="0.35">
      <c r="E7" s="30"/>
    </row>
    <row r="8" spans="4:16" ht="29.4" customHeight="1" thickBot="1" x14ac:dyDescent="0.25">
      <c r="E8" s="40" t="s">
        <v>50</v>
      </c>
      <c r="F8" s="41" t="s">
        <v>21</v>
      </c>
      <c r="G8" s="41" t="s">
        <v>22</v>
      </c>
      <c r="H8" s="41" t="s">
        <v>23</v>
      </c>
      <c r="I8" s="41" t="s">
        <v>24</v>
      </c>
      <c r="J8" s="41" t="s">
        <v>25</v>
      </c>
      <c r="K8" s="41" t="s">
        <v>26</v>
      </c>
      <c r="L8" s="41" t="s">
        <v>27</v>
      </c>
      <c r="M8" s="42" t="s">
        <v>28</v>
      </c>
      <c r="N8" s="42" t="s">
        <v>59</v>
      </c>
      <c r="O8" s="41" t="s">
        <v>57</v>
      </c>
    </row>
    <row r="9" spans="4:16" ht="29.4" customHeight="1" thickBot="1" x14ac:dyDescent="0.25">
      <c r="E9" s="43" t="s">
        <v>15</v>
      </c>
      <c r="F9" s="44">
        <v>4</v>
      </c>
      <c r="G9" s="45">
        <v>5</v>
      </c>
      <c r="H9" s="45">
        <v>5</v>
      </c>
      <c r="I9" s="45">
        <v>5</v>
      </c>
      <c r="J9" s="45">
        <v>5.5</v>
      </c>
      <c r="K9" s="45">
        <v>5.5</v>
      </c>
      <c r="L9" s="45">
        <v>5.5</v>
      </c>
      <c r="M9" s="46">
        <v>6</v>
      </c>
      <c r="N9" s="46">
        <v>11</v>
      </c>
      <c r="O9" s="58">
        <v>20000</v>
      </c>
    </row>
    <row r="10" spans="4:16" ht="16.2" thickBot="1" x14ac:dyDescent="0.25">
      <c r="E10" s="43" t="s">
        <v>41</v>
      </c>
      <c r="F10" s="44">
        <v>1.5</v>
      </c>
      <c r="G10" s="45">
        <v>2</v>
      </c>
      <c r="H10" s="45">
        <v>2</v>
      </c>
      <c r="I10" s="45">
        <v>2</v>
      </c>
      <c r="J10" s="45">
        <v>2.5</v>
      </c>
      <c r="K10" s="45">
        <v>2.5</v>
      </c>
      <c r="L10" s="45">
        <v>2.5</v>
      </c>
      <c r="M10" s="46">
        <v>3</v>
      </c>
      <c r="N10" s="46">
        <v>19</v>
      </c>
      <c r="O10" s="55">
        <v>5000</v>
      </c>
    </row>
    <row r="11" spans="4:16" ht="16.2" thickBot="1" x14ac:dyDescent="0.25">
      <c r="E11" s="43" t="s">
        <v>42</v>
      </c>
      <c r="F11" s="44">
        <v>2</v>
      </c>
      <c r="G11" s="45">
        <v>2.5</v>
      </c>
      <c r="H11" s="45">
        <v>2.5</v>
      </c>
      <c r="I11" s="45">
        <v>2.5</v>
      </c>
      <c r="J11" s="45">
        <v>3</v>
      </c>
      <c r="K11" s="45">
        <v>3</v>
      </c>
      <c r="L11" s="45">
        <v>3.5</v>
      </c>
      <c r="M11" s="46">
        <v>3.5</v>
      </c>
      <c r="N11" s="46">
        <v>17</v>
      </c>
      <c r="O11" s="55">
        <v>6000</v>
      </c>
      <c r="P11" s="31"/>
    </row>
    <row r="12" spans="4:16" ht="16.2" thickBot="1" x14ac:dyDescent="0.25">
      <c r="E12" s="47" t="s">
        <v>14</v>
      </c>
      <c r="F12" s="48">
        <v>150</v>
      </c>
      <c r="G12" s="49">
        <v>225</v>
      </c>
      <c r="H12" s="50">
        <v>225</v>
      </c>
      <c r="I12" s="50">
        <v>225</v>
      </c>
      <c r="J12" s="50">
        <v>250</v>
      </c>
      <c r="K12" s="50">
        <v>250</v>
      </c>
      <c r="L12" s="50">
        <v>250</v>
      </c>
      <c r="M12" s="49">
        <v>300</v>
      </c>
      <c r="N12" s="51"/>
      <c r="O12" s="52"/>
      <c r="P12" s="31"/>
    </row>
    <row r="13" spans="4:16" ht="19.2" customHeight="1" thickBot="1" x14ac:dyDescent="0.35">
      <c r="E13" s="43" t="s">
        <v>8</v>
      </c>
      <c r="F13" s="48">
        <v>350</v>
      </c>
      <c r="G13" s="49">
        <v>450</v>
      </c>
      <c r="H13" s="50">
        <v>460</v>
      </c>
      <c r="I13" s="50">
        <v>470</v>
      </c>
      <c r="J13" s="50">
        <v>500</v>
      </c>
      <c r="K13" s="50">
        <v>525</v>
      </c>
      <c r="L13" s="50">
        <v>530</v>
      </c>
      <c r="M13" s="49">
        <v>600</v>
      </c>
      <c r="N13" s="51"/>
      <c r="O13" s="32"/>
      <c r="P13" s="31"/>
    </row>
    <row r="14" spans="4:16" ht="19.2" customHeight="1" thickBot="1" x14ac:dyDescent="0.25">
      <c r="E14" s="43" t="s">
        <v>58</v>
      </c>
      <c r="F14" s="53">
        <v>1500</v>
      </c>
      <c r="G14" s="54">
        <v>1250</v>
      </c>
      <c r="H14" s="55">
        <v>1250</v>
      </c>
      <c r="I14" s="55">
        <v>1250</v>
      </c>
      <c r="J14" s="55">
        <v>1000</v>
      </c>
      <c r="K14" s="55">
        <v>1000</v>
      </c>
      <c r="L14" s="55">
        <v>1000</v>
      </c>
      <c r="M14" s="54">
        <v>800</v>
      </c>
      <c r="N14" s="51"/>
      <c r="O14" s="52"/>
      <c r="P14" s="31"/>
    </row>
    <row r="15" spans="4:16" ht="19.2" customHeight="1" x14ac:dyDescent="0.2"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</row>
    <row r="16" spans="4:16" ht="20.399999999999999" customHeight="1" x14ac:dyDescent="0.2">
      <c r="P16" s="31"/>
    </row>
    <row r="17" spans="5:16" ht="16.2" thickBot="1" x14ac:dyDescent="0.25">
      <c r="F17" s="33" t="s">
        <v>21</v>
      </c>
      <c r="G17" s="33" t="s">
        <v>22</v>
      </c>
      <c r="H17" s="33" t="s">
        <v>23</v>
      </c>
      <c r="I17" s="33" t="s">
        <v>24</v>
      </c>
      <c r="J17" s="33" t="s">
        <v>25</v>
      </c>
      <c r="K17" s="33" t="s">
        <v>26</v>
      </c>
      <c r="L17" s="33" t="s">
        <v>27</v>
      </c>
      <c r="M17" s="33" t="s">
        <v>28</v>
      </c>
      <c r="P17" s="31"/>
    </row>
    <row r="18" spans="5:16" ht="31.8" thickBot="1" x14ac:dyDescent="0.25">
      <c r="E18" s="34" t="s">
        <v>60</v>
      </c>
      <c r="F18" s="63" t="s">
        <v>108</v>
      </c>
      <c r="G18" s="64" t="s">
        <v>63</v>
      </c>
      <c r="H18" s="69">
        <v>142</v>
      </c>
      <c r="I18" s="69">
        <v>152</v>
      </c>
      <c r="J18" s="69">
        <v>142</v>
      </c>
      <c r="K18" s="69">
        <v>167</v>
      </c>
      <c r="L18" s="69">
        <v>172</v>
      </c>
      <c r="M18" s="64">
        <v>177</v>
      </c>
      <c r="P18" s="31"/>
    </row>
    <row r="19" spans="5:16" ht="31.8" thickBot="1" x14ac:dyDescent="0.25">
      <c r="E19" s="34" t="s">
        <v>61</v>
      </c>
      <c r="F19" s="65" t="s">
        <v>62</v>
      </c>
      <c r="G19" s="66" t="s">
        <v>109</v>
      </c>
      <c r="H19" s="69">
        <v>137.5</v>
      </c>
      <c r="I19" s="69">
        <v>147.5</v>
      </c>
      <c r="J19" s="69">
        <v>138.5</v>
      </c>
      <c r="K19" s="69">
        <v>163.5</v>
      </c>
      <c r="L19" s="69">
        <v>160</v>
      </c>
      <c r="M19" s="66" t="s">
        <v>64</v>
      </c>
    </row>
    <row r="24" spans="5:16" ht="14.4" x14ac:dyDescent="0.3">
      <c r="E24" s="68"/>
      <c r="F24" s="11" t="s">
        <v>21</v>
      </c>
      <c r="G24" s="11" t="s">
        <v>22</v>
      </c>
      <c r="H24" s="11" t="s">
        <v>23</v>
      </c>
      <c r="I24" s="11" t="s">
        <v>24</v>
      </c>
      <c r="J24" s="11" t="s">
        <v>25</v>
      </c>
      <c r="K24" s="11" t="s">
        <v>26</v>
      </c>
      <c r="L24" s="11" t="s">
        <v>27</v>
      </c>
      <c r="M24" s="11" t="s">
        <v>28</v>
      </c>
      <c r="N24" s="11"/>
      <c r="O24" s="11" t="s">
        <v>3</v>
      </c>
    </row>
    <row r="25" spans="5:16" ht="22.8" customHeight="1" x14ac:dyDescent="0.3">
      <c r="E25" s="68" t="s">
        <v>10</v>
      </c>
      <c r="F25" s="56" t="s">
        <v>82</v>
      </c>
      <c r="G25" s="56" t="s">
        <v>83</v>
      </c>
      <c r="H25" s="56"/>
      <c r="I25" s="56"/>
      <c r="J25" s="56"/>
      <c r="K25" s="56"/>
      <c r="L25" s="56"/>
      <c r="M25" s="57"/>
      <c r="N25" s="60" t="s">
        <v>18</v>
      </c>
      <c r="O25" s="61">
        <v>20000</v>
      </c>
    </row>
    <row r="26" spans="5:16" ht="15.6" x14ac:dyDescent="0.3">
      <c r="E26" s="68" t="s">
        <v>37</v>
      </c>
      <c r="F26" s="56" t="s">
        <v>84</v>
      </c>
      <c r="G26" s="56" t="s">
        <v>85</v>
      </c>
      <c r="H26" s="56" t="s">
        <v>86</v>
      </c>
      <c r="I26" s="56" t="s">
        <v>87</v>
      </c>
      <c r="J26" s="56" t="s">
        <v>88</v>
      </c>
      <c r="K26" s="56" t="s">
        <v>89</v>
      </c>
      <c r="L26" s="56" t="s">
        <v>90</v>
      </c>
      <c r="M26" s="57" t="s">
        <v>91</v>
      </c>
      <c r="N26" s="60" t="s">
        <v>18</v>
      </c>
      <c r="O26" s="61">
        <v>5000</v>
      </c>
    </row>
    <row r="27" spans="5:16" ht="15.6" x14ac:dyDescent="0.3">
      <c r="E27" s="68" t="s">
        <v>38</v>
      </c>
      <c r="F27" s="56" t="s">
        <v>92</v>
      </c>
      <c r="G27" s="56" t="s">
        <v>93</v>
      </c>
      <c r="H27" s="56" t="s">
        <v>94</v>
      </c>
      <c r="I27" s="56" t="s">
        <v>95</v>
      </c>
      <c r="J27" s="56" t="s">
        <v>96</v>
      </c>
      <c r="K27" s="56" t="s">
        <v>97</v>
      </c>
      <c r="L27" s="56" t="s">
        <v>98</v>
      </c>
      <c r="M27" s="57" t="s">
        <v>99</v>
      </c>
      <c r="N27" s="60" t="s">
        <v>18</v>
      </c>
      <c r="O27" s="61">
        <v>6000</v>
      </c>
    </row>
    <row r="28" spans="5:16" ht="15.6" x14ac:dyDescent="0.3">
      <c r="E28" s="68" t="s">
        <v>29</v>
      </c>
      <c r="F28" s="59" t="s">
        <v>100</v>
      </c>
      <c r="G28" s="59"/>
      <c r="H28" s="59"/>
      <c r="I28" s="59"/>
      <c r="J28" s="59"/>
      <c r="K28" s="59"/>
      <c r="L28" s="59"/>
      <c r="M28" s="59"/>
      <c r="N28" s="60" t="s">
        <v>18</v>
      </c>
      <c r="O28" s="62">
        <v>1500</v>
      </c>
    </row>
    <row r="29" spans="5:16" ht="15.6" x14ac:dyDescent="0.3">
      <c r="E29" s="68" t="s">
        <v>30</v>
      </c>
      <c r="F29" s="59"/>
      <c r="G29" s="59" t="s">
        <v>101</v>
      </c>
      <c r="H29" s="59"/>
      <c r="I29" s="59"/>
      <c r="J29" s="59"/>
      <c r="K29" s="59"/>
      <c r="L29" s="59"/>
      <c r="M29" s="59"/>
      <c r="N29" s="60" t="s">
        <v>18</v>
      </c>
      <c r="O29" s="62">
        <v>1250</v>
      </c>
    </row>
    <row r="30" spans="5:16" ht="15.6" x14ac:dyDescent="0.3">
      <c r="E30" s="68" t="s">
        <v>31</v>
      </c>
      <c r="F30" s="59"/>
      <c r="G30" s="59"/>
      <c r="H30" s="59" t="s">
        <v>102</v>
      </c>
      <c r="I30" s="59"/>
      <c r="J30" s="59"/>
      <c r="K30" s="59"/>
      <c r="L30" s="59"/>
      <c r="M30" s="59"/>
      <c r="N30" s="60" t="s">
        <v>18</v>
      </c>
      <c r="O30" s="62">
        <v>1250</v>
      </c>
    </row>
    <row r="31" spans="5:16" ht="15.6" x14ac:dyDescent="0.3">
      <c r="E31" s="68" t="s">
        <v>32</v>
      </c>
      <c r="F31" s="59"/>
      <c r="G31" s="59"/>
      <c r="H31" s="59"/>
      <c r="I31" s="59" t="s">
        <v>103</v>
      </c>
      <c r="J31" s="59"/>
      <c r="K31" s="59"/>
      <c r="L31" s="59"/>
      <c r="M31" s="59"/>
      <c r="N31" s="60" t="s">
        <v>18</v>
      </c>
      <c r="O31" s="62">
        <v>1250</v>
      </c>
    </row>
    <row r="32" spans="5:16" ht="15.6" x14ac:dyDescent="0.3">
      <c r="E32" s="68" t="s">
        <v>33</v>
      </c>
      <c r="F32" s="59"/>
      <c r="G32" s="59"/>
      <c r="H32" s="59"/>
      <c r="I32" s="59"/>
      <c r="J32" s="59" t="s">
        <v>104</v>
      </c>
      <c r="K32" s="59"/>
      <c r="L32" s="59"/>
      <c r="M32" s="59"/>
      <c r="N32" s="60" t="s">
        <v>18</v>
      </c>
      <c r="O32" s="62">
        <v>1000</v>
      </c>
    </row>
    <row r="33" spans="5:15" ht="15.6" x14ac:dyDescent="0.3">
      <c r="E33" s="68" t="s">
        <v>34</v>
      </c>
      <c r="F33" s="59"/>
      <c r="G33" s="59"/>
      <c r="H33" s="59"/>
      <c r="I33" s="59"/>
      <c r="J33" s="59"/>
      <c r="K33" s="59" t="s">
        <v>105</v>
      </c>
      <c r="L33" s="59"/>
      <c r="M33" s="59"/>
      <c r="N33" s="60" t="s">
        <v>18</v>
      </c>
      <c r="O33" s="62">
        <v>1000</v>
      </c>
    </row>
    <row r="34" spans="5:15" ht="15.6" x14ac:dyDescent="0.3">
      <c r="E34" s="68" t="s">
        <v>35</v>
      </c>
      <c r="F34" s="59"/>
      <c r="G34" s="59"/>
      <c r="H34" s="59"/>
      <c r="I34" s="59"/>
      <c r="J34" s="59"/>
      <c r="K34" s="59"/>
      <c r="L34" s="59" t="s">
        <v>106</v>
      </c>
      <c r="M34" s="59"/>
      <c r="N34" s="60" t="s">
        <v>18</v>
      </c>
      <c r="O34" s="62">
        <v>1000</v>
      </c>
    </row>
    <row r="35" spans="5:15" ht="15.6" x14ac:dyDescent="0.3">
      <c r="E35" s="68" t="s">
        <v>36</v>
      </c>
      <c r="F35" s="59"/>
      <c r="G35" s="59"/>
      <c r="H35" s="59"/>
      <c r="I35" s="59"/>
      <c r="J35" s="59"/>
      <c r="K35" s="59"/>
      <c r="L35" s="59"/>
      <c r="M35" s="59" t="s">
        <v>107</v>
      </c>
      <c r="N35" s="60" t="s">
        <v>18</v>
      </c>
      <c r="O35" s="62">
        <v>800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0.199999999999999" x14ac:dyDescent="0.2"/>
  <sheetData>
    <row r="1" spans="1:2" x14ac:dyDescent="0.2">
      <c r="A1">
        <v>1</v>
      </c>
    </row>
    <row r="2" spans="1:2" x14ac:dyDescent="0.2">
      <c r="A2" t="s">
        <v>52</v>
      </c>
    </row>
    <row r="3" spans="1:2" x14ac:dyDescent="0.2">
      <c r="A3">
        <v>1</v>
      </c>
    </row>
    <row r="4" spans="1:2" x14ac:dyDescent="0.2">
      <c r="A4">
        <v>350</v>
      </c>
    </row>
    <row r="5" spans="1:2" x14ac:dyDescent="0.2">
      <c r="A5">
        <v>550</v>
      </c>
    </row>
    <row r="6" spans="1:2" x14ac:dyDescent="0.2">
      <c r="A6">
        <v>25</v>
      </c>
    </row>
    <row r="8" spans="1:2" x14ac:dyDescent="0.2">
      <c r="A8" s="12"/>
      <c r="B8" s="12"/>
    </row>
    <row r="9" spans="1:2" x14ac:dyDescent="0.2">
      <c r="A9" t="s">
        <v>53</v>
      </c>
    </row>
    <row r="10" spans="1:2" x14ac:dyDescent="0.2">
      <c r="A10" t="s">
        <v>54</v>
      </c>
    </row>
    <row r="15" spans="1:2" x14ac:dyDescent="0.2">
      <c r="B1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Conceptual model for Ex1</vt:lpstr>
      <vt:lpstr>Spreadsheet model1</vt:lpstr>
      <vt:lpstr>Spreadsheet model2</vt:lpstr>
      <vt:lpstr>Calculation of model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Annista Wijayanayake</cp:lastModifiedBy>
  <cp:lastPrinted>2016-03-31T02:17:14Z</cp:lastPrinted>
  <dcterms:created xsi:type="dcterms:W3CDTF">2014-11-18T01:43:09Z</dcterms:created>
  <dcterms:modified xsi:type="dcterms:W3CDTF">2025-03-11T01:36:57Z</dcterms:modified>
</cp:coreProperties>
</file>