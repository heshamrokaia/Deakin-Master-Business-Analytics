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eakin365-my.sharepoint.com/personal/annista_wijayanayake_deakin_edu_au/Documents/Documents/0.00  2025-T1/MIS775/MIS775-2025-T1/Week 1-Decision Modelling &amp; Linear Programming (LP)/"/>
    </mc:Choice>
  </mc:AlternateContent>
  <xr:revisionPtr revIDLastSave="263" documentId="8_{EA462F7D-7593-4634-9C52-5957ABABEFBB}" xr6:coauthVersionLast="47" xr6:coauthVersionMax="47" xr10:uidLastSave="{2E51EA7F-9205-4D66-9503-467369D105C6}"/>
  <bookViews>
    <workbookView xWindow="-108" yWindow="-108" windowWidth="41496" windowHeight="16776" tabRatio="842" activeTab="2" xr2:uid="{00000000-000D-0000-FFFF-FFFF00000000}"/>
  </bookViews>
  <sheets>
    <sheet name="Spreadsheet model1" sheetId="11" r:id="rId1"/>
    <sheet name="Spreadsheet model2" sheetId="10" r:id="rId2"/>
    <sheet name="Calculation of model 2" sheetId="15" r:id="rId3"/>
    <sheet name="Model1_STS" sheetId="14" state="veryHidden" r:id="rId4"/>
  </sheets>
  <definedNames>
    <definedName name="Number_to_produce">#REF!</definedName>
    <definedName name="solver_adj" localSheetId="0" hidden="1">'Spreadsheet model1'!$C$17:$D$17</definedName>
    <definedName name="solver_adj" localSheetId="1" hidden="1">'Spreadsheet model2'!$C$19:$J$20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2</definedName>
    <definedName name="solver_eng" localSheetId="1" hidden="1">2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'Spreadsheet model1'!$E$28:$E$31</definedName>
    <definedName name="solver_lhs1" localSheetId="1" hidden="1">'Spreadsheet model2'!$K$33:$K$43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1</definedName>
    <definedName name="solver_num" localSheetId="1" hidden="1">1</definedName>
    <definedName name="solver_nwt" localSheetId="0" hidden="1">1</definedName>
    <definedName name="solver_nwt" localSheetId="1" hidden="1">1</definedName>
    <definedName name="solver_opt" localSheetId="0" hidden="1">'Spreadsheet model1'!$C$23</definedName>
    <definedName name="solver_opt" localSheetId="1" hidden="1">'Spreadsheet model2'!$C$28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el1" localSheetId="0" hidden="1">1</definedName>
    <definedName name="solver_rel1" localSheetId="1" hidden="1">1</definedName>
    <definedName name="solver_rhs1" localSheetId="0" hidden="1">'Spreadsheet model1'!$G$28:$G$31</definedName>
    <definedName name="solver_rhs1" localSheetId="1" hidden="1">'Spreadsheet model2'!$M$33:$M$43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1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29" i="11" l="1"/>
  <c r="C29" i="11"/>
  <c r="D28" i="11"/>
  <c r="C28" i="11"/>
  <c r="D27" i="11"/>
  <c r="C27" i="11"/>
  <c r="D21" i="11"/>
  <c r="C21" i="11"/>
  <c r="D20" i="11"/>
  <c r="C20" i="11"/>
  <c r="C26" i="10" l="1"/>
  <c r="D26" i="10"/>
  <c r="E26" i="10"/>
  <c r="F26" i="10"/>
  <c r="G26" i="10"/>
  <c r="H26" i="10"/>
  <c r="I26" i="10"/>
  <c r="J26" i="10"/>
  <c r="D25" i="10"/>
  <c r="E25" i="10"/>
  <c r="F25" i="10"/>
  <c r="G25" i="10"/>
  <c r="H25" i="10"/>
  <c r="I25" i="10"/>
  <c r="J25" i="10"/>
  <c r="C25" i="10"/>
  <c r="D33" i="10"/>
  <c r="E33" i="10"/>
  <c r="F33" i="10"/>
  <c r="G33" i="10"/>
  <c r="H33" i="10"/>
  <c r="I33" i="10"/>
  <c r="J33" i="10"/>
  <c r="D34" i="10"/>
  <c r="E34" i="10"/>
  <c r="F34" i="10"/>
  <c r="G34" i="10"/>
  <c r="H34" i="10"/>
  <c r="I34" i="10"/>
  <c r="J34" i="10"/>
  <c r="D35" i="10"/>
  <c r="E35" i="10"/>
  <c r="F35" i="10"/>
  <c r="G35" i="10"/>
  <c r="H35" i="10"/>
  <c r="I35" i="10"/>
  <c r="J35" i="10"/>
  <c r="C34" i="10"/>
  <c r="C35" i="10"/>
  <c r="C33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Stewart</author>
  </authors>
  <commentList>
    <comment ref="C17" authorId="0" shapeId="0" xr:uid="{00000000-0006-0000-0000-000001000000}">
      <text>
        <r>
          <rPr>
            <sz val="10"/>
            <color indexed="81"/>
            <rFont val="Calibri"/>
            <family val="2"/>
            <scheme val="minor"/>
          </rPr>
          <t>Decision variable cell</t>
        </r>
      </text>
    </comment>
    <comment ref="D17" authorId="0" shapeId="0" xr:uid="{00000000-0006-0000-0000-000002000000}">
      <text>
        <r>
          <rPr>
            <sz val="10"/>
            <color indexed="81"/>
            <rFont val="Calibri"/>
            <family val="2"/>
            <scheme val="minor"/>
          </rPr>
          <t>Decision variable cell</t>
        </r>
      </text>
    </comment>
    <comment ref="C23" authorId="0" shapeId="0" xr:uid="{00000000-0006-0000-0000-000003000000}">
      <text>
        <r>
          <rPr>
            <sz val="10"/>
            <color indexed="81"/>
            <rFont val="Calibri"/>
            <family val="2"/>
            <scheme val="minor"/>
          </rPr>
          <t>Objective cell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Stewart</author>
  </authors>
  <commentList>
    <comment ref="C28" authorId="0" shapeId="0" xr:uid="{00000000-0006-0000-0100-000001000000}">
      <text>
        <r>
          <rPr>
            <sz val="10"/>
            <color indexed="81"/>
            <rFont val="Calibri"/>
            <family val="2"/>
            <scheme val="minor"/>
          </rPr>
          <t>Objective cell</t>
        </r>
      </text>
    </comment>
  </commentList>
</comments>
</file>

<file path=xl/sharedStrings.xml><?xml version="1.0" encoding="utf-8"?>
<sst xmlns="http://schemas.openxmlformats.org/spreadsheetml/2006/main" count="239" uniqueCount="110">
  <si>
    <t>DECISION VARIABLES</t>
  </si>
  <si>
    <t>OBJECTIVE FUNCTION</t>
  </si>
  <si>
    <t>CONSTRAINTS</t>
  </si>
  <si>
    <t>Available</t>
  </si>
  <si>
    <t>Used</t>
  </si>
  <si>
    <t>LHS</t>
  </si>
  <si>
    <t>Basic</t>
  </si>
  <si>
    <t>XP</t>
  </si>
  <si>
    <t>Selling price</t>
  </si>
  <si>
    <t>Unit margin</t>
  </si>
  <si>
    <t>Assembly time</t>
  </si>
  <si>
    <t>Testing time</t>
  </si>
  <si>
    <t>Assembly</t>
  </si>
  <si>
    <t>Testing</t>
  </si>
  <si>
    <t>Cost of parts</t>
  </si>
  <si>
    <t>Hours of assembly</t>
  </si>
  <si>
    <t>Hours of testing</t>
  </si>
  <si>
    <t>RHS</t>
  </si>
  <si>
    <t>&lt;</t>
  </si>
  <si>
    <t>Market demand for Basics</t>
  </si>
  <si>
    <t>Market demand for XPs</t>
  </si>
  <si>
    <t>Model 1</t>
  </si>
  <si>
    <t>Model 2</t>
  </si>
  <si>
    <t>Model 3</t>
  </si>
  <si>
    <t>Model 4</t>
  </si>
  <si>
    <t>Model 5</t>
  </si>
  <si>
    <t>Model 6</t>
  </si>
  <si>
    <t>Model 7</t>
  </si>
  <si>
    <t>Model 8</t>
  </si>
  <si>
    <t>Market demand for model 1</t>
  </si>
  <si>
    <t>Market demand for model 2</t>
  </si>
  <si>
    <t>Market demand for model 3</t>
  </si>
  <si>
    <t>Market demand for model 4</t>
  </si>
  <si>
    <t>Market demand for model 5</t>
  </si>
  <si>
    <t>Market demand for model 6</t>
  </si>
  <si>
    <t>Market demand for model 7</t>
  </si>
  <si>
    <t>Market demand for model 8</t>
  </si>
  <si>
    <t>Testing time line 1</t>
  </si>
  <si>
    <t>Testing time line 2</t>
  </si>
  <si>
    <t>Testing, line 1</t>
  </si>
  <si>
    <t>Testing, line 2</t>
  </si>
  <si>
    <t>Hours of testing, line 1</t>
  </si>
  <si>
    <t>Hours of testing, line 2</t>
  </si>
  <si>
    <t>Unit margin, line 1</t>
  </si>
  <si>
    <t>Unit margin, line 2</t>
  </si>
  <si>
    <t>No. to produce</t>
  </si>
  <si>
    <t>Total monthly profit</t>
  </si>
  <si>
    <t>No. to produce on line 1</t>
  </si>
  <si>
    <t>No. to produce on line 2</t>
  </si>
  <si>
    <t xml:space="preserve"> </t>
  </si>
  <si>
    <t>INPUTS PER UNIT</t>
  </si>
  <si>
    <t>HOURLY LABOUR COSTS</t>
  </si>
  <si>
    <t>$D$11</t>
  </si>
  <si>
    <t>$C$15:$D$15,$C$21</t>
  </si>
  <si>
    <t>Input</t>
  </si>
  <si>
    <t>Larger Product Mix Model</t>
  </si>
  <si>
    <t>A Two-variable Product Mix Model</t>
  </si>
  <si>
    <t>Hours available</t>
  </si>
  <si>
    <t>Maximum Demand</t>
  </si>
  <si>
    <t>Cost ($)</t>
  </si>
  <si>
    <t>net profit line 1</t>
  </si>
  <si>
    <t>net profit line 2</t>
  </si>
  <si>
    <t>350-150 - 4*11 - 2*17  = 122</t>
  </si>
  <si>
    <t xml:space="preserve"> 450-225-5*11 -2*19 =132</t>
  </si>
  <si>
    <t>600 -300 - 6*11 - 3.5* 17 = 174.5</t>
  </si>
  <si>
    <t>This summary sheet provide a comprhensive understanding of Net profit calculation and other calculation of related constraints</t>
  </si>
  <si>
    <t>X1</t>
  </si>
  <si>
    <t>X3</t>
  </si>
  <si>
    <t>X2</t>
  </si>
  <si>
    <t>X4</t>
  </si>
  <si>
    <t>X5</t>
  </si>
  <si>
    <t>X6</t>
  </si>
  <si>
    <t>X7</t>
  </si>
  <si>
    <t>X8</t>
  </si>
  <si>
    <t>Y1</t>
  </si>
  <si>
    <t>Y2</t>
  </si>
  <si>
    <t>Y3</t>
  </si>
  <si>
    <t>Y4</t>
  </si>
  <si>
    <t>Y5</t>
  </si>
  <si>
    <t>Y6</t>
  </si>
  <si>
    <t>Y7</t>
  </si>
  <si>
    <t>Y8</t>
  </si>
  <si>
    <t>4*(X1+Y1)</t>
  </si>
  <si>
    <t>5 *(X2+Y2)</t>
  </si>
  <si>
    <t>1.5* X1</t>
  </si>
  <si>
    <t>2*X2</t>
  </si>
  <si>
    <t>2*X3</t>
  </si>
  <si>
    <t>2*X4</t>
  </si>
  <si>
    <t>2.5*X5</t>
  </si>
  <si>
    <t>2.5*X6</t>
  </si>
  <si>
    <t>2.5 * X7</t>
  </si>
  <si>
    <t>3*X8</t>
  </si>
  <si>
    <t>2Y1</t>
  </si>
  <si>
    <t>2.5Y2</t>
  </si>
  <si>
    <t>2.5Y3</t>
  </si>
  <si>
    <t>X1+Y1</t>
  </si>
  <si>
    <t>X2+Y2</t>
  </si>
  <si>
    <t>X3+Y3</t>
  </si>
  <si>
    <t>X8+Y8</t>
  </si>
  <si>
    <t>2.5 Y4</t>
  </si>
  <si>
    <t>3Y5</t>
  </si>
  <si>
    <t>3Y6</t>
  </si>
  <si>
    <t>3.5Y7</t>
  </si>
  <si>
    <t>3.5Y8</t>
  </si>
  <si>
    <t>X4+Y4</t>
  </si>
  <si>
    <t>X5+Y5</t>
  </si>
  <si>
    <t>X6+Y6</t>
  </si>
  <si>
    <t>X7+Y7</t>
  </si>
  <si>
    <t>350-150- 4*11-1.5*19 = 127.5</t>
  </si>
  <si>
    <t>450-225 - 5*11 - 2.5 *17 =127.5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</si>
</sst>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4" formatCode="_-&quot;$&quot;* #,##0.00_-;\-&quot;$&quot;* #,##0.00_-;_-&quot;$&quot;* &quot;-&quot;??_-;_-@_-"/>
    <numFmt numFmtId="164" formatCode="&quot;$&quot;#,##0"/>
    <numFmt numFmtId="165" formatCode="&quot;$&quot;#,##0.0;[Red]\-&quot;$&quot;#,##0.0"/>
  </numFmts>
  <fonts count="28" x14ac:knownFonts="1">
    <font>
      <sz val="8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8"/>
      <color theme="10"/>
      <name val="Tahoma"/>
      <family val="2"/>
    </font>
    <font>
      <u/>
      <sz val="8"/>
      <color theme="11"/>
      <name val="Tahoma"/>
      <family val="2"/>
    </font>
    <font>
      <b/>
      <sz val="11"/>
      <color theme="1"/>
      <name val="Calibri"/>
      <family val="2"/>
      <scheme val="minor"/>
    </font>
    <font>
      <sz val="11"/>
      <color rgb="FF373636"/>
      <name val="Calibri"/>
      <family val="2"/>
    </font>
    <font>
      <u/>
      <sz val="11"/>
      <color theme="1"/>
      <name val="Calibri"/>
      <family val="2"/>
      <scheme val="minor"/>
    </font>
    <font>
      <sz val="10"/>
      <color indexed="81"/>
      <name val="Calibri"/>
      <family val="2"/>
      <scheme val="minor"/>
    </font>
    <font>
      <sz val="8"/>
      <color theme="1"/>
      <name val="Tahoma"/>
      <family val="2"/>
    </font>
    <font>
      <b/>
      <sz val="20"/>
      <color theme="1"/>
      <name val="Calibri"/>
      <family val="2"/>
      <scheme val="minor"/>
    </font>
    <font>
      <sz val="12"/>
      <color theme="1"/>
      <name val="Aptos"/>
      <family val="2"/>
    </font>
    <font>
      <sz val="10"/>
      <color theme="1"/>
      <name val="Times New Roman"/>
      <family val="1"/>
    </font>
    <font>
      <b/>
      <sz val="12"/>
      <color rgb="FF000000"/>
      <name val="Calibri"/>
      <family val="2"/>
    </font>
    <font>
      <b/>
      <sz val="12"/>
      <color rgb="FF0070C0"/>
      <name val="Calibri"/>
      <family val="2"/>
    </font>
    <font>
      <sz val="12"/>
      <color rgb="FF000000"/>
      <name val="Calibri"/>
      <family val="2"/>
    </font>
    <font>
      <b/>
      <sz val="12"/>
      <color rgb="FF7030A0"/>
      <name val="Calibri"/>
      <family val="2"/>
    </font>
    <font>
      <b/>
      <u/>
      <sz val="12"/>
      <color theme="1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sz val="11"/>
      <color rgb="FF0033CC"/>
      <name val="Calibri"/>
      <family val="2"/>
    </font>
    <font>
      <b/>
      <sz val="14"/>
      <color rgb="FF7030A0"/>
      <name val="Calibri"/>
      <family val="2"/>
      <scheme val="minor"/>
    </font>
    <font>
      <sz val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0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44" fontId="12" fillId="0" borderId="0" applyFont="0" applyFill="0" applyBorder="0" applyAlignment="0" applyProtection="0"/>
  </cellStyleXfs>
  <cellXfs count="78">
    <xf numFmtId="0" fontId="0" fillId="0" borderId="0" xfId="0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 wrapText="1" readingOrder="1"/>
    </xf>
    <xf numFmtId="0" fontId="8" fillId="0" borderId="0" xfId="0" applyFont="1"/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 readingOrder="1"/>
    </xf>
    <xf numFmtId="0" fontId="2" fillId="0" borderId="0" xfId="0" applyFont="1"/>
    <xf numFmtId="0" fontId="8" fillId="0" borderId="0" xfId="0" applyFont="1" applyAlignment="1">
      <alignment horizontal="center" vertical="center"/>
    </xf>
    <xf numFmtId="49" fontId="0" fillId="0" borderId="0" xfId="0" applyNumberFormat="1"/>
    <xf numFmtId="0" fontId="13" fillId="0" borderId="0" xfId="0" applyFont="1"/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4" fontId="4" fillId="2" borderId="1" xfId="29" applyNumberFormat="1" applyFont="1" applyFill="1" applyBorder="1" applyAlignment="1">
      <alignment horizontal="center"/>
    </xf>
    <xf numFmtId="6" fontId="5" fillId="0" borderId="0" xfId="0" applyNumberFormat="1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164" fontId="9" fillId="2" borderId="1" xfId="0" applyNumberFormat="1" applyFont="1" applyFill="1" applyBorder="1" applyAlignment="1">
      <alignment horizontal="center" vertical="center" wrapText="1" readingOrder="1"/>
    </xf>
    <xf numFmtId="164" fontId="5" fillId="2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6" fontId="9" fillId="2" borderId="1" xfId="0" applyNumberFormat="1" applyFont="1" applyFill="1" applyBorder="1" applyAlignment="1">
      <alignment horizontal="center" vertical="center" wrapText="1" readingOrder="1"/>
    </xf>
    <xf numFmtId="6" fontId="9" fillId="0" borderId="0" xfId="0" applyNumberFormat="1" applyFont="1" applyAlignment="1">
      <alignment horizontal="center" vertical="center" wrapText="1" readingOrder="1"/>
    </xf>
    <xf numFmtId="164" fontId="5" fillId="3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6" fontId="5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 readingOrder="1"/>
    </xf>
    <xf numFmtId="0" fontId="1" fillId="0" borderId="0" xfId="0" applyFont="1"/>
    <xf numFmtId="0" fontId="14" fillId="0" borderId="0" xfId="0" applyFont="1"/>
    <xf numFmtId="0" fontId="15" fillId="0" borderId="0" xfId="0" applyFont="1" applyAlignment="1">
      <alignment vertical="center" wrapText="1"/>
    </xf>
    <xf numFmtId="0" fontId="14" fillId="2" borderId="2" xfId="0" applyFont="1" applyFill="1" applyBorder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3" borderId="4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6" fillId="0" borderId="2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vertical="center" wrapText="1"/>
    </xf>
    <xf numFmtId="0" fontId="16" fillId="2" borderId="3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vertical="center"/>
    </xf>
    <xf numFmtId="6" fontId="17" fillId="2" borderId="3" xfId="0" applyNumberFormat="1" applyFont="1" applyFill="1" applyBorder="1" applyAlignment="1">
      <alignment horizontal="center" vertical="center" wrapText="1"/>
    </xf>
    <xf numFmtId="6" fontId="17" fillId="2" borderId="2" xfId="0" applyNumberFormat="1" applyFont="1" applyFill="1" applyBorder="1" applyAlignment="1">
      <alignment horizontal="center" vertical="center" wrapText="1"/>
    </xf>
    <xf numFmtId="6" fontId="17" fillId="2" borderId="2" xfId="0" applyNumberFormat="1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3" fontId="19" fillId="2" borderId="2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/>
    </xf>
    <xf numFmtId="0" fontId="16" fillId="5" borderId="4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2" fillId="0" borderId="0" xfId="0" applyFont="1"/>
    <xf numFmtId="0" fontId="23" fillId="0" borderId="0" xfId="0" applyFont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2" fillId="2" borderId="1" xfId="0" applyFont="1" applyFill="1" applyBorder="1" applyAlignment="1">
      <alignment horizontal="center"/>
    </xf>
    <xf numFmtId="6" fontId="25" fillId="2" borderId="1" xfId="0" applyNumberFormat="1" applyFont="1" applyFill="1" applyBorder="1" applyAlignment="1">
      <alignment horizontal="center" vertical="center" wrapText="1" readingOrder="1"/>
    </xf>
    <xf numFmtId="0" fontId="26" fillId="2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/>
    </xf>
    <xf numFmtId="165" fontId="9" fillId="2" borderId="1" xfId="0" applyNumberFormat="1" applyFont="1" applyFill="1" applyBorder="1" applyAlignment="1">
      <alignment horizontal="center" vertical="center" wrapText="1" readingOrder="1"/>
    </xf>
    <xf numFmtId="0" fontId="8" fillId="0" borderId="0" xfId="0" applyFont="1" applyAlignment="1">
      <alignment horizontal="left"/>
    </xf>
  </cellXfs>
  <cellStyles count="30">
    <cellStyle name="Currency" xfId="29" builtinId="4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Normal" xfId="0" builtinId="0"/>
  </cellStyles>
  <dxfs count="0"/>
  <tableStyles count="0" defaultTableStyle="TableStyleMedium2" defaultPivotStyle="PivotStyleLight16"/>
  <colors>
    <mruColors>
      <color rgb="FF0033CC"/>
      <color rgb="FFD99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144781</xdr:colOff>
      <xdr:row>0</xdr:row>
      <xdr:rowOff>106680</xdr:rowOff>
    </xdr:from>
    <xdr:ext cx="8587740" cy="311367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5FF3A1B-5E7E-5AA4-1F5B-9D4A69D6C272}"/>
            </a:ext>
          </a:extLst>
        </xdr:cNvPr>
        <xdr:cNvSpPr txBox="1"/>
      </xdr:nvSpPr>
      <xdr:spPr>
        <a:xfrm>
          <a:off x="5676901" y="106680"/>
          <a:ext cx="8587740" cy="3113673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rtl="0" eaLnBrk="1" latinLnBrk="0" hangingPunct="1"/>
          <a:r>
            <a:rPr lang="en-GB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 Two-variable Product Mix Model*</a:t>
          </a:r>
        </a:p>
        <a:p>
          <a:pPr rtl="0" eaLnBrk="1" latinLnBrk="0" hangingPunct="1"/>
          <a:endParaRPr lang="en-GB" sz="14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rtl="0" eaLnBrk="1" latinLnBrk="0" hangingPunct="1"/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 PC Tech company makes two models of computers – Basic &amp; XP</a:t>
          </a:r>
        </a:p>
        <a:p>
          <a:pPr rtl="0" eaLnBrk="1" latinLnBrk="0" hangingPunct="1"/>
          <a:endParaRPr lang="en-AU" sz="1400">
            <a:effectLst/>
          </a:endParaRPr>
        </a:p>
        <a:p>
          <a:pPr marL="171450" indent="-171450" rtl="0" eaLnBrk="1" latinLnBrk="0" hangingPunct="1">
            <a:buFont typeface="Arial" panose="020B0604020202020204" pitchFamily="34" charset="0"/>
            <a:buChar char="•"/>
          </a:pPr>
          <a:r>
            <a:rPr lang="en-AU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They believe the most it can sell in a month is </a:t>
          </a:r>
          <a:r>
            <a:rPr lang="en-AU" sz="1400" b="1">
              <a:solidFill>
                <a:srgbClr val="7030A0"/>
              </a:solidFill>
              <a:effectLst/>
              <a:latin typeface="+mn-lt"/>
              <a:ea typeface="+mn-ea"/>
              <a:cs typeface="+mn-cs"/>
            </a:rPr>
            <a:t>600 </a:t>
          </a:r>
          <a:r>
            <a:rPr lang="en-AU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Basics and </a:t>
          </a:r>
          <a:r>
            <a:rPr lang="en-AU" sz="1400" b="1">
              <a:solidFill>
                <a:srgbClr val="7030A0"/>
              </a:solidFill>
              <a:effectLst/>
              <a:latin typeface="+mn-lt"/>
              <a:ea typeface="+mn-ea"/>
              <a:cs typeface="+mn-cs"/>
            </a:rPr>
            <a:t>1200</a:t>
          </a:r>
          <a:r>
            <a:rPr lang="en-AU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XPs</a:t>
          </a:r>
          <a:endParaRPr lang="en-AU" sz="1400">
            <a:effectLst/>
          </a:endParaRPr>
        </a:p>
        <a:p>
          <a:pPr marL="171450" indent="-171450" rtl="0" eaLnBrk="1" latinLnBrk="0" hangingPunct="1">
            <a:buFont typeface="Arial" panose="020B0604020202020204" pitchFamily="34" charset="0"/>
            <a:buChar char="•"/>
          </a:pPr>
          <a:r>
            <a:rPr lang="en-AU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 Basic sells for $300, and an XP for $450</a:t>
          </a:r>
          <a:endParaRPr lang="en-AU" sz="1400">
            <a:effectLst/>
          </a:endParaRPr>
        </a:p>
        <a:p>
          <a:pPr marL="171450" indent="-171450" rtl="0" eaLnBrk="1" latinLnBrk="0" hangingPunct="1">
            <a:buFont typeface="Arial" panose="020B0604020202020204" pitchFamily="34" charset="0"/>
            <a:buChar char="•"/>
          </a:pPr>
          <a:r>
            <a:rPr lang="en-AU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cost of component parts is $150 for a Basic and $225 for an XP </a:t>
          </a:r>
          <a:endParaRPr lang="en-AU" sz="1400">
            <a:effectLst/>
          </a:endParaRPr>
        </a:p>
        <a:p>
          <a:pPr marL="171450" indent="-171450" rtl="0" eaLnBrk="1" latinLnBrk="0" hangingPunct="1">
            <a:buFont typeface="Arial" panose="020B0604020202020204" pitchFamily="34" charset="0"/>
            <a:buChar char="•"/>
          </a:pPr>
          <a:r>
            <a:rPr lang="en-AU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There are at most </a:t>
          </a:r>
          <a:r>
            <a:rPr lang="en-AU" sz="1400" b="1">
              <a:solidFill>
                <a:srgbClr val="7030A0"/>
              </a:solidFill>
              <a:effectLst/>
              <a:latin typeface="+mn-lt"/>
              <a:ea typeface="+mn-ea"/>
              <a:cs typeface="+mn-cs"/>
            </a:rPr>
            <a:t>10,000</a:t>
          </a:r>
          <a:r>
            <a:rPr lang="en-AU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assembly hours and </a:t>
          </a:r>
          <a:r>
            <a:rPr lang="en-AU" sz="1400" b="1">
              <a:solidFill>
                <a:srgbClr val="7030A0"/>
              </a:solidFill>
              <a:effectLst/>
              <a:latin typeface="+mn-lt"/>
              <a:ea typeface="+mn-ea"/>
              <a:cs typeface="+mn-cs"/>
            </a:rPr>
            <a:t>3,000</a:t>
          </a:r>
          <a:r>
            <a:rPr lang="en-AU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hours of testing</a:t>
          </a:r>
          <a:endParaRPr lang="en-AU" sz="1400">
            <a:effectLst/>
          </a:endParaRPr>
        </a:p>
        <a:p>
          <a:pPr marL="171450" indent="-171450" rtl="0" eaLnBrk="1" latinLnBrk="0" hangingPunct="1">
            <a:buFont typeface="Arial" panose="020B0604020202020204" pitchFamily="34" charset="0"/>
            <a:buChar char="•"/>
          </a:pPr>
          <a:r>
            <a:rPr lang="en-AU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Each hour for assembling and testing costs $11 and $15 respectively</a:t>
          </a:r>
          <a:endParaRPr lang="en-AU" sz="1400">
            <a:effectLst/>
          </a:endParaRPr>
        </a:p>
        <a:p>
          <a:pPr marL="171450" indent="-171450" rtl="0" eaLnBrk="1" latinLnBrk="0" hangingPunct="1">
            <a:buFont typeface="Arial" panose="020B0604020202020204" pitchFamily="34" charset="0"/>
            <a:buChar char="•"/>
          </a:pPr>
          <a:r>
            <a:rPr lang="en-AU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Each Basic requires 5 hours of assembly and one hour of testing, whereas each XP requires 6 hours of assembly and two hours of testing </a:t>
          </a:r>
          <a:endParaRPr lang="en-AU" sz="1400">
            <a:effectLst/>
          </a:endParaRPr>
        </a:p>
        <a:p>
          <a:pPr marL="171450" indent="-171450" rtl="0" eaLnBrk="1" latinLnBrk="0" hangingPunct="1">
            <a:buFont typeface="Arial" panose="020B0604020202020204" pitchFamily="34" charset="0"/>
            <a:buChar char="•"/>
          </a:pP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objective is to find the mix of computer models that </a:t>
          </a:r>
          <a:r>
            <a:rPr lang="en-AU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maximises profit </a:t>
          </a:r>
          <a:endParaRPr lang="en-AU" sz="1400">
            <a:effectLst/>
          </a:endParaRPr>
        </a:p>
        <a:p>
          <a:pPr rtl="0" eaLnBrk="1" latinLnBrk="0" hangingPunct="1"/>
          <a:r>
            <a:rPr lang="en-AU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en-AU" sz="1400" b="1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Textbook pp 75-86</a:t>
          </a:r>
          <a:endParaRPr lang="en-AU" sz="1400">
            <a:effectLst/>
          </a:endParaRPr>
        </a:p>
        <a:p>
          <a:endParaRPr lang="en-AU" sz="1100"/>
        </a:p>
      </xdr:txBody>
    </xdr:sp>
    <xdr:clientData/>
  </xdr:oneCellAnchor>
  <xdr:oneCellAnchor>
    <xdr:from>
      <xdr:col>9</xdr:col>
      <xdr:colOff>243840</xdr:colOff>
      <xdr:row>17</xdr:row>
      <xdr:rowOff>144780</xdr:rowOff>
    </xdr:from>
    <xdr:ext cx="6318525" cy="201773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AE0DF19-A15E-E155-1873-884E89F3AB70}"/>
            </a:ext>
          </a:extLst>
        </xdr:cNvPr>
        <xdr:cNvSpPr txBox="1"/>
      </xdr:nvSpPr>
      <xdr:spPr>
        <a:xfrm>
          <a:off x="5775960" y="3429000"/>
          <a:ext cx="6318525" cy="2017732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AU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Let X1 and X2 denote the number of Basics and XPs produced per months</a:t>
          </a:r>
        </a:p>
        <a:p>
          <a:r>
            <a:rPr lang="en-AU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Maximise profit ($) </a:t>
          </a:r>
          <a:r>
            <a:rPr lang="en-AU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	 </a:t>
          </a:r>
          <a:r>
            <a:rPr lang="en-AU" sz="16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80X1</a:t>
          </a:r>
          <a:r>
            <a:rPr lang="en-AU" sz="1600" b="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AU" sz="16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+ 129X2</a:t>
          </a:r>
        </a:p>
        <a:p>
          <a:r>
            <a:rPr lang="en-AU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Subject to:</a:t>
          </a:r>
          <a:r>
            <a:rPr lang="en-AU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	</a:t>
          </a:r>
          <a:r>
            <a:rPr lang="en-AU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5X1 + 6X2 	≤ 10,000 	(assembly time constraint)</a:t>
          </a:r>
        </a:p>
        <a:p>
          <a:r>
            <a:rPr lang="en-AU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		X1</a:t>
          </a:r>
          <a:r>
            <a:rPr lang="en-AU" sz="16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AU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+ 2X2</a:t>
          </a:r>
          <a:r>
            <a:rPr lang="en-AU" sz="16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	 </a:t>
          </a:r>
          <a:r>
            <a:rPr lang="en-AU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≤ 3,000 	(testing time constraint) </a:t>
          </a:r>
        </a:p>
        <a:p>
          <a:r>
            <a:rPr lang="en-AU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		X1</a:t>
          </a:r>
          <a:r>
            <a:rPr lang="en-AU" sz="16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	</a:t>
          </a:r>
          <a:r>
            <a:rPr lang="en-AU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≤ 600 	(monthly demand for Basics) </a:t>
          </a:r>
        </a:p>
        <a:p>
          <a:r>
            <a:rPr lang="en-AU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		</a:t>
          </a:r>
          <a:r>
            <a:rPr lang="en-AU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</a:t>
          </a:r>
          <a:r>
            <a:rPr lang="en-AU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X2</a:t>
          </a:r>
          <a:r>
            <a:rPr lang="en-AU" sz="16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	</a:t>
          </a:r>
          <a:r>
            <a:rPr lang="en-AU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≤ 1200 </a:t>
          </a:r>
          <a:r>
            <a:rPr lang="en-US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	</a:t>
          </a:r>
          <a:r>
            <a:rPr lang="en-AU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(monthly demand for XPs) </a:t>
          </a:r>
        </a:p>
        <a:p>
          <a:r>
            <a:rPr lang="en-AU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		</a:t>
          </a:r>
          <a:r>
            <a:rPr lang="en-AU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X1, X2</a:t>
          </a:r>
          <a:r>
            <a:rPr lang="en-AU" sz="16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AU" sz="1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≥ 0 (non-negativity conditions)</a:t>
          </a:r>
        </a:p>
        <a:p>
          <a:endParaRPr lang="en-AU" sz="1100"/>
        </a:p>
      </xdr:txBody>
    </xdr:sp>
    <xdr:clientData/>
  </xdr:oneCellAnchor>
  <xdr:twoCellAnchor editAs="oneCell">
    <xdr:from>
      <xdr:col>25</xdr:col>
      <xdr:colOff>38100</xdr:colOff>
      <xdr:row>17</xdr:row>
      <xdr:rowOff>97760</xdr:rowOff>
    </xdr:from>
    <xdr:to>
      <xdr:col>38</xdr:col>
      <xdr:colOff>31181</xdr:colOff>
      <xdr:row>27</xdr:row>
      <xdr:rowOff>145001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F86A342-4A7B-CD98-C177-17E80F582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29260" y="3381980"/>
          <a:ext cx="6134801" cy="1937001"/>
        </a:xfrm>
        <a:prstGeom prst="rect">
          <a:avLst/>
        </a:prstGeom>
      </xdr:spPr>
    </xdr:pic>
    <xdr:clientData/>
  </xdr:twoCellAnchor>
  <xdr:twoCellAnchor editAs="oneCell">
    <xdr:from>
      <xdr:col>24</xdr:col>
      <xdr:colOff>373381</xdr:colOff>
      <xdr:row>28</xdr:row>
      <xdr:rowOff>45720</xdr:rowOff>
    </xdr:from>
    <xdr:to>
      <xdr:col>31</xdr:col>
      <xdr:colOff>426721</xdr:colOff>
      <xdr:row>32</xdr:row>
      <xdr:rowOff>193688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2F11914-FF05-FC00-84DB-2DE30B717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60681" y="5402580"/>
          <a:ext cx="3360420" cy="10166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464820</xdr:colOff>
      <xdr:row>1</xdr:row>
      <xdr:rowOff>144780</xdr:rowOff>
    </xdr:from>
    <xdr:ext cx="7978139" cy="267534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2E08E07-AA27-A1A8-0FE1-4B5890FBDBB9}"/>
            </a:ext>
          </a:extLst>
        </xdr:cNvPr>
        <xdr:cNvSpPr txBox="1"/>
      </xdr:nvSpPr>
      <xdr:spPr>
        <a:xfrm>
          <a:off x="11041380" y="327660"/>
          <a:ext cx="7978139" cy="2675348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rtl="0" eaLnBrk="1" latinLnBrk="0" hangingPunct="1"/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This time PCTech must decide how many of </a:t>
          </a:r>
          <a:r>
            <a:rPr lang="en-AU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 models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 assemble and test,when there are </a:t>
          </a:r>
          <a:r>
            <a:rPr lang="en-AU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two lines for testing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.Computers can be tested on either line.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U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There are at most 20,000 assembly hours and 5000 hrs for line one and 6,000 hours of testing for line 2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U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Selling price and Cost of the parts are seperatly provided in the spredsheet</a:t>
          </a:r>
          <a:r>
            <a:rPr lang="en-AU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summary model</a:t>
          </a:r>
          <a:endParaRPr lang="en-AU" sz="1400">
            <a:effectLst/>
          </a:endParaRPr>
        </a:p>
        <a:p>
          <a:pPr rtl="0" eaLnBrk="1" latinLnBrk="0" hangingPunct="1"/>
          <a:endParaRPr lang="en-AU" sz="1400">
            <a:effectLst/>
          </a:endParaRPr>
        </a:p>
        <a:p>
          <a:pPr rtl="0" eaLnBrk="1" latinLnBrk="0" hangingPunct="1"/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objective is unchanged - find the mix of computer models that maximises profit</a:t>
          </a:r>
          <a:endParaRPr lang="en-AU" sz="1400">
            <a:effectLst/>
          </a:endParaRPr>
        </a:p>
        <a:p>
          <a:pPr rtl="0" eaLnBrk="1" latinLnBrk="0" hangingPunct="1"/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We solve this in our lab session,but it is worth noting that the main complicating factor here is that we now have 16 decision variables - the number of each type of model to test on each line</a:t>
          </a:r>
        </a:p>
        <a:p>
          <a:pPr rtl="0" eaLnBrk="1" latinLnBrk="0" hangingPunct="1"/>
          <a:endParaRPr lang="en-AU" sz="1400">
            <a:effectLst/>
          </a:endParaRPr>
        </a:p>
        <a:p>
          <a:pPr rtl="0" eaLnBrk="1" latinLnBrk="0" hangingPunct="1"/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Let X</a:t>
          </a:r>
          <a:r>
            <a:rPr lang="en-AU" sz="1400" baseline="-17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j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and Y</a:t>
          </a:r>
          <a:r>
            <a:rPr lang="en-AU" sz="1400" baseline="-17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j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denote the number of model j computers tested on lines 1 and 2 respectively (j = 1, 2,.., 8)</a:t>
          </a:r>
          <a:endParaRPr lang="en-AU" sz="1400">
            <a:effectLst/>
          </a:endParaRPr>
        </a:p>
        <a:p>
          <a:pPr rtl="0" eaLnBrk="1" latinLnBrk="0" hangingPunct="1"/>
          <a:r>
            <a:rPr lang="en-AU" sz="14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en-AU" sz="1400" b="1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Textbook pp 103-107</a:t>
          </a:r>
          <a:endParaRPr lang="en-AU" sz="1400">
            <a:effectLst/>
          </a:endParaRPr>
        </a:p>
        <a:p>
          <a:endParaRPr lang="en-AU" sz="1100"/>
        </a:p>
      </xdr:txBody>
    </xdr:sp>
    <xdr:clientData/>
  </xdr:oneCellAnchor>
  <xdr:oneCellAnchor>
    <xdr:from>
      <xdr:col>18</xdr:col>
      <xdr:colOff>22860</xdr:colOff>
      <xdr:row>17</xdr:row>
      <xdr:rowOff>91440</xdr:rowOff>
    </xdr:from>
    <xdr:ext cx="7111434" cy="323896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A161E6C-56A4-4187-8088-847E14A3B3DC}"/>
            </a:ext>
          </a:extLst>
        </xdr:cNvPr>
        <xdr:cNvSpPr txBox="1"/>
      </xdr:nvSpPr>
      <xdr:spPr>
        <a:xfrm>
          <a:off x="11071860" y="3360420"/>
          <a:ext cx="7111434" cy="3238964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eaLnBrk="1" fontAlgn="auto" latinLnBrk="0" hangingPunct="1"/>
          <a:r>
            <a:rPr lang="en-A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Let X1 ,X2 ... X8  denote the number of products of Model 1...8 produced  in Line 1 per month</a:t>
          </a:r>
          <a:endParaRPr lang="en-AU" sz="1400">
            <a:effectLst/>
          </a:endParaRPr>
        </a:p>
        <a:p>
          <a:pPr eaLnBrk="1" fontAlgn="auto" latinLnBrk="0" hangingPunct="1"/>
          <a:r>
            <a:rPr lang="en-A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Y1 ,Y2 ... Y8  denote the number of products of Model 1...8 produced  in Line 2per months</a:t>
          </a:r>
        </a:p>
        <a:p>
          <a:pPr eaLnBrk="1" fontAlgn="auto" latinLnBrk="0" hangingPunct="1"/>
          <a:endParaRPr lang="en-AU" sz="1400">
            <a:effectLst/>
          </a:endParaRPr>
        </a:p>
        <a:p>
          <a:r>
            <a:rPr lang="en-AU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Maximise profit ($) :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	 </a:t>
          </a:r>
          <a:r>
            <a:rPr lang="en-AU" sz="1400" b="1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127.5 X1+132 X2+ 142 X3……</a:t>
          </a:r>
        </a:p>
        <a:p>
          <a:r>
            <a:rPr lang="en-AU" sz="1400" b="1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                                                      122 Y1+127.5 Y2+………… + 174.5 Y8</a:t>
          </a:r>
        </a:p>
        <a:p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Subject to:</a:t>
          </a:r>
          <a:r>
            <a:rPr lang="en-AU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	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4X1 + 4Y1 +5 X2 + 5Y2 + ……+ 6X8 + 6Y8       ≤ </a:t>
          </a:r>
          <a:r>
            <a:rPr lang="en-AU" sz="1400" b="1">
              <a:solidFill>
                <a:srgbClr val="7030A0"/>
              </a:solidFill>
              <a:effectLst/>
              <a:latin typeface="+mn-lt"/>
              <a:ea typeface="+mn-ea"/>
              <a:cs typeface="+mn-cs"/>
            </a:rPr>
            <a:t>20,000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(assembly time constraint)</a:t>
          </a:r>
        </a:p>
        <a:p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	1.5X1 + 2X2+ ……                             +3X8</a:t>
          </a:r>
          <a:r>
            <a:rPr lang="en-AU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≤ </a:t>
          </a:r>
          <a:r>
            <a:rPr lang="en-AU" sz="1400" b="1">
              <a:solidFill>
                <a:srgbClr val="7030A0"/>
              </a:solidFill>
              <a:effectLst/>
              <a:latin typeface="+mn-lt"/>
              <a:ea typeface="+mn-ea"/>
              <a:cs typeface="+mn-cs"/>
            </a:rPr>
            <a:t>5,000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(testing time constraint line 1) </a:t>
          </a:r>
        </a:p>
        <a:p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	2Y1 + 2.5Y2+ ……                            +3.5Y8</a:t>
          </a:r>
          <a:r>
            <a:rPr lang="en-AU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≤ </a:t>
          </a:r>
          <a:r>
            <a:rPr lang="en-AU" sz="1400" b="1">
              <a:solidFill>
                <a:srgbClr val="7030A0"/>
              </a:solidFill>
              <a:effectLst/>
              <a:latin typeface="+mn-lt"/>
              <a:ea typeface="+mn-ea"/>
              <a:cs typeface="+mn-cs"/>
            </a:rPr>
            <a:t>6,000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(testing time constraint line 2) </a:t>
          </a:r>
        </a:p>
        <a:p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X1+Y1</a:t>
          </a:r>
          <a:r>
            <a:rPr lang="en-AU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				           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≤ </a:t>
          </a:r>
          <a:r>
            <a:rPr lang="en-AU" sz="1400" b="1">
              <a:solidFill>
                <a:srgbClr val="7030A0"/>
              </a:solidFill>
              <a:effectLst/>
              <a:latin typeface="+mn-lt"/>
              <a:ea typeface="+mn-ea"/>
              <a:cs typeface="+mn-cs"/>
            </a:rPr>
            <a:t>1500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(monthly demand for  model 1) </a:t>
          </a:r>
        </a:p>
        <a:p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	X2+Y2</a:t>
          </a:r>
          <a:r>
            <a:rPr lang="en-AU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			          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≤ 1</a:t>
          </a:r>
          <a:r>
            <a:rPr lang="en-AU" sz="1400" b="1">
              <a:solidFill>
                <a:srgbClr val="7030A0"/>
              </a:solidFill>
              <a:effectLst/>
              <a:latin typeface="+mn-lt"/>
              <a:ea typeface="+mn-ea"/>
              <a:cs typeface="+mn-cs"/>
            </a:rPr>
            <a:t>250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(monthly demand for model 2)</a:t>
          </a:r>
        </a:p>
        <a:p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		……..</a:t>
          </a:r>
        </a:p>
        <a:p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			……</a:t>
          </a:r>
        </a:p>
        <a:p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			</a:t>
          </a:r>
          <a:r>
            <a:rPr lang="en-AU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X8+Y8</a:t>
          </a:r>
          <a:r>
            <a:rPr lang="en-AU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AU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≤ </a:t>
          </a:r>
          <a:r>
            <a:rPr lang="en-AU" sz="1400" b="1">
              <a:solidFill>
                <a:srgbClr val="7030A0"/>
              </a:solidFill>
              <a:effectLst/>
              <a:latin typeface="+mn-lt"/>
              <a:ea typeface="+mn-ea"/>
              <a:cs typeface="+mn-cs"/>
            </a:rPr>
            <a:t>800</a:t>
          </a: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(monthly demand for model 8)</a:t>
          </a:r>
        </a:p>
        <a:p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	              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X1, X2</a:t>
          </a:r>
          <a:r>
            <a:rPr lang="en-AU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…..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X8,</a:t>
          </a:r>
          <a:r>
            <a:rPr lang="en-AU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Y1.....Y8</a:t>
          </a:r>
          <a:r>
            <a:rPr lang="en-AU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≥ 0 (non-negativity conditions)</a:t>
          </a:r>
        </a:p>
        <a:p>
          <a:endParaRPr lang="en-AU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2</xdr:row>
      <xdr:rowOff>0</xdr:rowOff>
    </xdr:from>
    <xdr:ext cx="7391400" cy="289451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71DA3D1-2945-43BA-B39A-8569503B314B}"/>
            </a:ext>
          </a:extLst>
        </xdr:cNvPr>
        <xdr:cNvSpPr txBox="1"/>
      </xdr:nvSpPr>
      <xdr:spPr>
        <a:xfrm>
          <a:off x="17358360" y="259080"/>
          <a:ext cx="7391400" cy="289451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rtl="0" eaLnBrk="1" latinLnBrk="0" hangingPunct="1"/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This time PCTech must decide how many of </a:t>
          </a:r>
          <a:r>
            <a:rPr lang="en-AU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 models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 assemble and test,when there are </a:t>
          </a:r>
          <a:r>
            <a:rPr lang="en-AU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two lines for testing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.Computers can be tested on either line.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U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There are at most 20,000 assembly hours and 5000 hrs for line one and 6,000 hours of testing for line 2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U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Selling price and Cost of the parts are seperatly provided in the spredsheetSummary model</a:t>
          </a:r>
          <a:endParaRPr lang="en-AU" sz="1400">
            <a:effectLst/>
          </a:endParaRPr>
        </a:p>
        <a:p>
          <a:pPr rtl="0" eaLnBrk="1" latinLnBrk="0" hangingPunct="1"/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objective is unchanged - find the mix of computer models that maximises profit</a:t>
          </a:r>
          <a:endParaRPr lang="en-AU" sz="1400">
            <a:effectLst/>
          </a:endParaRPr>
        </a:p>
        <a:p>
          <a:pPr rtl="0" eaLnBrk="1" latinLnBrk="0" hangingPunct="1"/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We solve this in our lab session,but it is worth noting that the main complicating factor here is that we now have 16 decision variables - the number of each type of model to test on each line</a:t>
          </a:r>
        </a:p>
        <a:p>
          <a:pPr rtl="0" eaLnBrk="1" latinLnBrk="0" hangingPunct="1"/>
          <a:endParaRPr lang="en-AU" sz="1400">
            <a:effectLst/>
          </a:endParaRPr>
        </a:p>
        <a:p>
          <a:pPr rtl="0" eaLnBrk="1" latinLnBrk="0" hangingPunct="1"/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Let X</a:t>
          </a:r>
          <a:r>
            <a:rPr lang="en-AU" sz="1400" baseline="-17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j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and Y</a:t>
          </a:r>
          <a:r>
            <a:rPr lang="en-AU" sz="1400" baseline="-17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j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denote the number of model j computers tested on lines 1 and 2 respectively (j = 1, 2,.., 8)</a:t>
          </a:r>
          <a:endParaRPr lang="en-AU" sz="1400">
            <a:effectLst/>
          </a:endParaRPr>
        </a:p>
        <a:p>
          <a:pPr rtl="0" eaLnBrk="1" latinLnBrk="0" hangingPunct="1"/>
          <a:r>
            <a:rPr lang="en-AU" sz="14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en-AU" sz="1400" b="1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Textbook pp 103-107</a:t>
          </a:r>
          <a:endParaRPr lang="en-AU" sz="1400">
            <a:effectLst/>
          </a:endParaRPr>
        </a:p>
        <a:p>
          <a:endParaRPr lang="en-AU" sz="1100"/>
        </a:p>
      </xdr:txBody>
    </xdr:sp>
    <xdr:clientData/>
  </xdr:oneCellAnchor>
  <xdr:oneCellAnchor>
    <xdr:from>
      <xdr:col>17</xdr:col>
      <xdr:colOff>22860</xdr:colOff>
      <xdr:row>16</xdr:row>
      <xdr:rowOff>182880</xdr:rowOff>
    </xdr:from>
    <xdr:ext cx="7111434" cy="323896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EC22A1C-A067-4270-8224-A68F8962C889}"/>
            </a:ext>
          </a:extLst>
        </xdr:cNvPr>
        <xdr:cNvSpPr txBox="1"/>
      </xdr:nvSpPr>
      <xdr:spPr>
        <a:xfrm>
          <a:off x="17381220" y="3817620"/>
          <a:ext cx="7111434" cy="3238964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eaLnBrk="1" fontAlgn="auto" latinLnBrk="0" hangingPunct="1"/>
          <a:r>
            <a:rPr lang="en-A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Let X1 ,X2 ... X8  denote the number of products of Model 1...8 produced  in Line 1 per month</a:t>
          </a:r>
          <a:endParaRPr lang="en-AU" sz="1400">
            <a:effectLst/>
          </a:endParaRPr>
        </a:p>
        <a:p>
          <a:pPr eaLnBrk="1" fontAlgn="auto" latinLnBrk="0" hangingPunct="1"/>
          <a:r>
            <a:rPr lang="en-A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Y1 ,Y2 ... Y8  denote the number of products of Model 1...8 produced  in Line 2per months</a:t>
          </a:r>
          <a:endParaRPr lang="en-AU" sz="1400">
            <a:effectLst/>
          </a:endParaRPr>
        </a:p>
        <a:p>
          <a:endParaRPr lang="en-AU" sz="14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Maximise profit ($) :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	 </a:t>
          </a:r>
          <a:r>
            <a:rPr lang="en-AU" sz="1400" b="1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127.5 X1+132 X2+ 142 X3……</a:t>
          </a:r>
        </a:p>
        <a:p>
          <a:r>
            <a:rPr lang="en-AU" sz="1400" b="1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                                                      122 Y1+127.5 Y2+………… + 174.5 Y8</a:t>
          </a:r>
        </a:p>
        <a:p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Subject to:</a:t>
          </a:r>
          <a:r>
            <a:rPr lang="en-AU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	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4X1 + 4Y1 +5 X2 + 5Y2 + ……+ 6X8 + 6Y8       ≤ </a:t>
          </a:r>
          <a:r>
            <a:rPr lang="en-AU" sz="1400" b="1">
              <a:solidFill>
                <a:srgbClr val="7030A0"/>
              </a:solidFill>
              <a:effectLst/>
              <a:latin typeface="+mn-lt"/>
              <a:ea typeface="+mn-ea"/>
              <a:cs typeface="+mn-cs"/>
            </a:rPr>
            <a:t>20,000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(assembly time constraint)</a:t>
          </a:r>
        </a:p>
        <a:p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	1.5X1 + 2X2+ ……                             +3X8</a:t>
          </a:r>
          <a:r>
            <a:rPr lang="en-AU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≤ </a:t>
          </a:r>
          <a:r>
            <a:rPr lang="en-AU" sz="1400" b="1">
              <a:solidFill>
                <a:srgbClr val="7030A0"/>
              </a:solidFill>
              <a:effectLst/>
              <a:latin typeface="+mn-lt"/>
              <a:ea typeface="+mn-ea"/>
              <a:cs typeface="+mn-cs"/>
            </a:rPr>
            <a:t>5,000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(testing time constraint line 1) </a:t>
          </a:r>
        </a:p>
        <a:p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	2Y1 + 2.5Y2+ ……                            +3.5Y8</a:t>
          </a:r>
          <a:r>
            <a:rPr lang="en-AU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≤ </a:t>
          </a:r>
          <a:r>
            <a:rPr lang="en-AU" sz="1400" b="1">
              <a:solidFill>
                <a:srgbClr val="7030A0"/>
              </a:solidFill>
              <a:effectLst/>
              <a:latin typeface="+mn-lt"/>
              <a:ea typeface="+mn-ea"/>
              <a:cs typeface="+mn-cs"/>
            </a:rPr>
            <a:t>6,000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(testing time constraint line 2) </a:t>
          </a:r>
        </a:p>
        <a:p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X1+Y1</a:t>
          </a:r>
          <a:r>
            <a:rPr lang="en-AU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				           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≤ </a:t>
          </a:r>
          <a:r>
            <a:rPr lang="en-AU" sz="1400" b="1">
              <a:solidFill>
                <a:srgbClr val="7030A0"/>
              </a:solidFill>
              <a:effectLst/>
              <a:latin typeface="+mn-lt"/>
              <a:ea typeface="+mn-ea"/>
              <a:cs typeface="+mn-cs"/>
            </a:rPr>
            <a:t>1500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(monthly demand for  model 1) </a:t>
          </a:r>
        </a:p>
        <a:p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	X2+Y2</a:t>
          </a:r>
          <a:r>
            <a:rPr lang="en-AU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			          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≤ 1</a:t>
          </a:r>
          <a:r>
            <a:rPr lang="en-AU" sz="1400" b="1">
              <a:solidFill>
                <a:srgbClr val="7030A0"/>
              </a:solidFill>
              <a:effectLst/>
              <a:latin typeface="+mn-lt"/>
              <a:ea typeface="+mn-ea"/>
              <a:cs typeface="+mn-cs"/>
            </a:rPr>
            <a:t>250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(monthly demand for model 2)</a:t>
          </a:r>
        </a:p>
        <a:p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		……..</a:t>
          </a:r>
        </a:p>
        <a:p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			……</a:t>
          </a:r>
        </a:p>
        <a:p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			</a:t>
          </a:r>
          <a:r>
            <a:rPr lang="en-AU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X8+Y8</a:t>
          </a:r>
          <a:r>
            <a:rPr lang="en-AU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AU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≤ </a:t>
          </a:r>
          <a:r>
            <a:rPr lang="en-AU" sz="1400" b="1">
              <a:solidFill>
                <a:srgbClr val="7030A0"/>
              </a:solidFill>
              <a:effectLst/>
              <a:latin typeface="+mn-lt"/>
              <a:ea typeface="+mn-ea"/>
              <a:cs typeface="+mn-cs"/>
            </a:rPr>
            <a:t>800</a:t>
          </a: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(monthly demand for model 8)</a:t>
          </a:r>
        </a:p>
        <a:p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	              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X1, X2</a:t>
          </a:r>
          <a:r>
            <a:rPr lang="en-AU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…..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X8,</a:t>
          </a:r>
          <a:r>
            <a:rPr lang="en-AU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Y1.....Y8</a:t>
          </a:r>
          <a:r>
            <a:rPr lang="en-AU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AU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≥ 0 (non-negativity conditions)</a:t>
          </a:r>
        </a:p>
        <a:p>
          <a:endParaRPr lang="en-AU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34"/>
  <sheetViews>
    <sheetView showGridLines="0" topLeftCell="A4" zoomScaleNormal="100" workbookViewId="0">
      <selection activeCell="AO37" sqref="AO37"/>
    </sheetView>
  </sheetViews>
  <sheetFormatPr defaultColWidth="8.85546875" defaultRowHeight="14.4" x14ac:dyDescent="0.3"/>
  <cols>
    <col min="1" max="1" width="8.85546875" style="1" customWidth="1"/>
    <col min="2" max="2" width="28" style="1" bestFit="1" customWidth="1"/>
    <col min="3" max="3" width="11.7109375" style="14" customWidth="1"/>
    <col min="4" max="4" width="11.85546875" style="14" customWidth="1"/>
    <col min="5" max="5" width="8.85546875" style="14"/>
    <col min="6" max="6" width="8.140625" style="14" customWidth="1"/>
    <col min="7" max="7" width="8.7109375" style="14" customWidth="1"/>
    <col min="8" max="8" width="8.7109375" style="1" customWidth="1"/>
    <col min="9" max="15" width="8.85546875" style="1"/>
    <col min="16" max="17" width="9" style="1" bestFit="1" customWidth="1"/>
    <col min="18" max="18" width="8.85546875" style="1"/>
    <col min="19" max="19" width="9.85546875" style="1" bestFit="1" customWidth="1"/>
    <col min="20" max="16384" width="8.85546875" style="1"/>
  </cols>
  <sheetData>
    <row r="2" spans="2:4" ht="25.8" x14ac:dyDescent="0.5">
      <c r="B2" s="13" t="s">
        <v>56</v>
      </c>
    </row>
    <row r="4" spans="2:4" x14ac:dyDescent="0.3">
      <c r="B4" s="4" t="s">
        <v>51</v>
      </c>
      <c r="C4" s="15"/>
      <c r="D4" s="15"/>
    </row>
    <row r="5" spans="2:4" x14ac:dyDescent="0.3">
      <c r="B5" s="2" t="s">
        <v>12</v>
      </c>
      <c r="C5" s="27">
        <v>11</v>
      </c>
      <c r="D5" s="15"/>
    </row>
    <row r="6" spans="2:4" x14ac:dyDescent="0.3">
      <c r="B6" s="2" t="s">
        <v>13</v>
      </c>
      <c r="C6" s="27">
        <v>15</v>
      </c>
      <c r="D6" s="15"/>
    </row>
    <row r="7" spans="2:4" x14ac:dyDescent="0.3">
      <c r="B7" s="2"/>
      <c r="C7" s="17"/>
      <c r="D7" s="15"/>
    </row>
    <row r="8" spans="2:4" x14ac:dyDescent="0.3">
      <c r="B8" s="6" t="s">
        <v>50</v>
      </c>
      <c r="C8" s="17"/>
      <c r="D8" s="15"/>
    </row>
    <row r="9" spans="2:4" x14ac:dyDescent="0.3">
      <c r="B9" s="6"/>
      <c r="C9" s="15" t="s">
        <v>6</v>
      </c>
      <c r="D9" s="15" t="s">
        <v>7</v>
      </c>
    </row>
    <row r="10" spans="2:4" x14ac:dyDescent="0.3">
      <c r="B10" s="3" t="s">
        <v>15</v>
      </c>
      <c r="C10" s="28">
        <v>5</v>
      </c>
      <c r="D10" s="28">
        <v>6</v>
      </c>
    </row>
    <row r="11" spans="2:4" x14ac:dyDescent="0.3">
      <c r="B11" s="3" t="s">
        <v>16</v>
      </c>
      <c r="C11" s="28">
        <v>1</v>
      </c>
      <c r="D11" s="28">
        <v>2</v>
      </c>
    </row>
    <row r="12" spans="2:4" x14ac:dyDescent="0.3">
      <c r="B12" s="2" t="s">
        <v>14</v>
      </c>
      <c r="C12" s="23">
        <v>150</v>
      </c>
      <c r="D12" s="23">
        <v>225</v>
      </c>
    </row>
    <row r="13" spans="2:4" ht="14.55" customHeight="1" x14ac:dyDescent="0.3">
      <c r="B13" s="3" t="s">
        <v>8</v>
      </c>
      <c r="C13" s="23">
        <v>300</v>
      </c>
      <c r="D13" s="23">
        <v>450</v>
      </c>
    </row>
    <row r="14" spans="2:4" ht="15" customHeight="1" x14ac:dyDescent="0.3"/>
    <row r="15" spans="2:4" ht="15" customHeight="1" x14ac:dyDescent="0.3">
      <c r="B15" s="77" t="s">
        <v>0</v>
      </c>
      <c r="C15" s="77"/>
      <c r="D15" s="77"/>
    </row>
    <row r="16" spans="2:4" ht="15" customHeight="1" x14ac:dyDescent="0.3">
      <c r="C16" s="15" t="s">
        <v>6</v>
      </c>
      <c r="D16" s="15" t="s">
        <v>7</v>
      </c>
    </row>
    <row r="17" spans="2:19" ht="15" customHeight="1" x14ac:dyDescent="0.3">
      <c r="B17" s="10" t="s">
        <v>45</v>
      </c>
      <c r="C17" s="22"/>
      <c r="D17" s="22"/>
    </row>
    <row r="18" spans="2:19" ht="15" customHeight="1" x14ac:dyDescent="0.3"/>
    <row r="19" spans="2:19" ht="15" customHeight="1" x14ac:dyDescent="0.3">
      <c r="B19" s="77" t="s">
        <v>1</v>
      </c>
      <c r="C19" s="77"/>
      <c r="D19" s="77"/>
    </row>
    <row r="20" spans="2:19" ht="15" customHeight="1" x14ac:dyDescent="0.3">
      <c r="C20" s="11" t="str">
        <f>C16</f>
        <v>Basic</v>
      </c>
      <c r="D20" s="11" t="str">
        <f>D16</f>
        <v>XP</v>
      </c>
    </row>
    <row r="21" spans="2:19" ht="15" customHeight="1" x14ac:dyDescent="0.3">
      <c r="B21" s="1" t="s">
        <v>9</v>
      </c>
      <c r="C21" s="73">
        <f>C13-C12-C10*$C5-C11*$C6</f>
        <v>80</v>
      </c>
      <c r="D21" s="73">
        <f>D13-D12-D10*$C5-D11*$C6</f>
        <v>129</v>
      </c>
    </row>
    <row r="22" spans="2:19" ht="15" customHeight="1" x14ac:dyDescent="0.3">
      <c r="C22" s="24"/>
      <c r="D22" s="24"/>
    </row>
    <row r="23" spans="2:19" ht="15" customHeight="1" x14ac:dyDescent="0.3">
      <c r="B23" s="10" t="s">
        <v>46</v>
      </c>
      <c r="C23" s="25"/>
    </row>
    <row r="24" spans="2:19" ht="15" customHeight="1" x14ac:dyDescent="0.3"/>
    <row r="25" spans="2:19" ht="15" customHeight="1" x14ac:dyDescent="0.3">
      <c r="B25" s="4" t="s">
        <v>2</v>
      </c>
    </row>
    <row r="26" spans="2:19" x14ac:dyDescent="0.3">
      <c r="C26" s="15"/>
      <c r="D26" s="15"/>
      <c r="E26" s="15" t="s">
        <v>5</v>
      </c>
      <c r="F26" s="15"/>
      <c r="G26" s="15" t="s">
        <v>17</v>
      </c>
    </row>
    <row r="27" spans="2:19" x14ac:dyDescent="0.3">
      <c r="C27" s="11" t="str">
        <f>C16</f>
        <v>Basic</v>
      </c>
      <c r="D27" s="11" t="str">
        <f>D16</f>
        <v>XP</v>
      </c>
      <c r="E27" s="11" t="s">
        <v>4</v>
      </c>
      <c r="F27" s="11"/>
      <c r="G27" s="11" t="s">
        <v>3</v>
      </c>
    </row>
    <row r="28" spans="2:19" x14ac:dyDescent="0.3">
      <c r="B28" s="1" t="s">
        <v>10</v>
      </c>
      <c r="C28" s="18">
        <f>C10</f>
        <v>5</v>
      </c>
      <c r="D28" s="18">
        <f>D10</f>
        <v>6</v>
      </c>
      <c r="E28" s="26"/>
      <c r="F28" s="5" t="s">
        <v>18</v>
      </c>
      <c r="G28" s="18">
        <v>10000</v>
      </c>
    </row>
    <row r="29" spans="2:19" x14ac:dyDescent="0.3">
      <c r="B29" s="1" t="s">
        <v>11</v>
      </c>
      <c r="C29" s="18">
        <f>C11</f>
        <v>1</v>
      </c>
      <c r="D29" s="18">
        <f>D11</f>
        <v>2</v>
      </c>
      <c r="E29" s="26"/>
      <c r="F29" s="5" t="s">
        <v>18</v>
      </c>
      <c r="G29" s="18">
        <v>3000</v>
      </c>
    </row>
    <row r="30" spans="2:19" ht="18" x14ac:dyDescent="0.35">
      <c r="B30" s="1" t="s">
        <v>19</v>
      </c>
      <c r="C30" s="19">
        <v>1</v>
      </c>
      <c r="D30" s="19">
        <v>0</v>
      </c>
      <c r="E30" s="26"/>
      <c r="F30" s="5" t="s">
        <v>18</v>
      </c>
      <c r="G30" s="19">
        <v>600</v>
      </c>
      <c r="O30" s="68"/>
      <c r="P30" s="69" t="s">
        <v>6</v>
      </c>
      <c r="Q30" s="69" t="s">
        <v>7</v>
      </c>
      <c r="R30" s="69"/>
      <c r="S30" s="69" t="s">
        <v>3</v>
      </c>
    </row>
    <row r="31" spans="2:19" ht="18" x14ac:dyDescent="0.35">
      <c r="B31" s="1" t="s">
        <v>20</v>
      </c>
      <c r="C31" s="19">
        <v>0</v>
      </c>
      <c r="D31" s="19">
        <v>1</v>
      </c>
      <c r="E31" s="26"/>
      <c r="F31" s="5" t="s">
        <v>18</v>
      </c>
      <c r="G31" s="19">
        <v>1200</v>
      </c>
      <c r="O31" s="68" t="s">
        <v>10</v>
      </c>
      <c r="P31" s="70">
        <v>5</v>
      </c>
      <c r="Q31" s="70">
        <v>6</v>
      </c>
      <c r="R31" s="71" t="s">
        <v>18</v>
      </c>
      <c r="S31" s="74">
        <v>10000</v>
      </c>
    </row>
    <row r="32" spans="2:19" ht="18" x14ac:dyDescent="0.35">
      <c r="O32" s="68" t="s">
        <v>11</v>
      </c>
      <c r="P32" s="70">
        <v>1</v>
      </c>
      <c r="Q32" s="70">
        <v>2</v>
      </c>
      <c r="R32" s="71" t="s">
        <v>18</v>
      </c>
      <c r="S32" s="74">
        <v>3000</v>
      </c>
    </row>
    <row r="33" spans="15:19" ht="18" x14ac:dyDescent="0.35">
      <c r="O33" s="68" t="s">
        <v>19</v>
      </c>
      <c r="P33" s="72">
        <v>1</v>
      </c>
      <c r="Q33" s="72">
        <v>0</v>
      </c>
      <c r="R33" s="71" t="s">
        <v>18</v>
      </c>
      <c r="S33" s="75">
        <v>600</v>
      </c>
    </row>
    <row r="34" spans="15:19" ht="18" x14ac:dyDescent="0.35">
      <c r="O34" s="68" t="s">
        <v>20</v>
      </c>
      <c r="P34" s="72">
        <v>0</v>
      </c>
      <c r="Q34" s="72">
        <v>1</v>
      </c>
      <c r="R34" s="71" t="s">
        <v>18</v>
      </c>
      <c r="S34" s="75">
        <v>1200</v>
      </c>
    </row>
  </sheetData>
  <mergeCells count="2">
    <mergeCell ref="B15:D15"/>
    <mergeCell ref="B19:D19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48"/>
  <sheetViews>
    <sheetView showGridLines="0" topLeftCell="A7" zoomScaleNormal="100" workbookViewId="0">
      <selection activeCell="C28" sqref="C28"/>
    </sheetView>
  </sheetViews>
  <sheetFormatPr defaultColWidth="8.85546875" defaultRowHeight="14.4" x14ac:dyDescent="0.3"/>
  <cols>
    <col min="1" max="1" width="8.85546875" style="1" customWidth="1"/>
    <col min="2" max="2" width="33.7109375" style="1" customWidth="1"/>
    <col min="3" max="10" width="11.7109375" style="14" customWidth="1"/>
    <col min="11" max="13" width="8.85546875" style="14"/>
    <col min="14" max="16384" width="8.85546875" style="1"/>
  </cols>
  <sheetData>
    <row r="2" spans="2:10" ht="25.8" x14ac:dyDescent="0.5">
      <c r="B2" s="13" t="s">
        <v>55</v>
      </c>
    </row>
    <row r="4" spans="2:10" x14ac:dyDescent="0.3">
      <c r="B4" s="4" t="s">
        <v>51</v>
      </c>
      <c r="C4" s="15"/>
      <c r="D4" s="15"/>
    </row>
    <row r="5" spans="2:10" x14ac:dyDescent="0.3">
      <c r="B5" s="2" t="s">
        <v>12</v>
      </c>
      <c r="C5" s="16">
        <v>11</v>
      </c>
      <c r="D5" s="15"/>
    </row>
    <row r="6" spans="2:10" x14ac:dyDescent="0.3">
      <c r="B6" s="8" t="s">
        <v>39</v>
      </c>
      <c r="C6" s="16">
        <v>19</v>
      </c>
      <c r="D6" s="15"/>
    </row>
    <row r="7" spans="2:10" x14ac:dyDescent="0.3">
      <c r="B7" s="8" t="s">
        <v>40</v>
      </c>
      <c r="C7" s="16">
        <v>17</v>
      </c>
      <c r="D7" s="15"/>
    </row>
    <row r="8" spans="2:10" x14ac:dyDescent="0.3">
      <c r="B8" s="2"/>
      <c r="C8" s="17"/>
      <c r="D8" s="15"/>
    </row>
    <row r="9" spans="2:10" x14ac:dyDescent="0.3">
      <c r="B9" s="6" t="s">
        <v>50</v>
      </c>
      <c r="C9" s="17"/>
      <c r="D9" s="15"/>
    </row>
    <row r="10" spans="2:10" x14ac:dyDescent="0.3">
      <c r="B10" s="6"/>
      <c r="C10" s="11" t="s">
        <v>21</v>
      </c>
      <c r="D10" s="11" t="s">
        <v>22</v>
      </c>
      <c r="E10" s="11" t="s">
        <v>23</v>
      </c>
      <c r="F10" s="11" t="s">
        <v>24</v>
      </c>
      <c r="G10" s="11" t="s">
        <v>25</v>
      </c>
      <c r="H10" s="11" t="s">
        <v>26</v>
      </c>
      <c r="I10" s="11" t="s">
        <v>27</v>
      </c>
      <c r="J10" s="11" t="s">
        <v>28</v>
      </c>
    </row>
    <row r="11" spans="2:10" x14ac:dyDescent="0.3">
      <c r="B11" s="3" t="s">
        <v>15</v>
      </c>
      <c r="C11" s="18">
        <v>4</v>
      </c>
      <c r="D11" s="18">
        <v>5</v>
      </c>
      <c r="E11" s="19">
        <v>5</v>
      </c>
      <c r="F11" s="19">
        <v>5</v>
      </c>
      <c r="G11" s="19">
        <v>5.5</v>
      </c>
      <c r="H11" s="19">
        <v>5.5</v>
      </c>
      <c r="I11" s="19">
        <v>5.5</v>
      </c>
      <c r="J11" s="19">
        <v>6</v>
      </c>
    </row>
    <row r="12" spans="2:10" x14ac:dyDescent="0.3">
      <c r="B12" s="9" t="s">
        <v>41</v>
      </c>
      <c r="C12" s="18">
        <v>1.5</v>
      </c>
      <c r="D12" s="18">
        <v>2</v>
      </c>
      <c r="E12" s="19">
        <v>2</v>
      </c>
      <c r="F12" s="19">
        <v>2</v>
      </c>
      <c r="G12" s="19">
        <v>2.5</v>
      </c>
      <c r="H12" s="19">
        <v>2.5</v>
      </c>
      <c r="I12" s="19">
        <v>2.5</v>
      </c>
      <c r="J12" s="19">
        <v>3</v>
      </c>
    </row>
    <row r="13" spans="2:10" x14ac:dyDescent="0.3">
      <c r="B13" s="9" t="s">
        <v>42</v>
      </c>
      <c r="C13" s="18">
        <v>2</v>
      </c>
      <c r="D13" s="18">
        <v>2.5</v>
      </c>
      <c r="E13" s="19">
        <v>2.5</v>
      </c>
      <c r="F13" s="19">
        <v>2.5</v>
      </c>
      <c r="G13" s="19">
        <v>3</v>
      </c>
      <c r="H13" s="19">
        <v>3</v>
      </c>
      <c r="I13" s="19">
        <v>3.5</v>
      </c>
      <c r="J13" s="19">
        <v>3.5</v>
      </c>
    </row>
    <row r="14" spans="2:10" x14ac:dyDescent="0.3">
      <c r="B14" s="2" t="s">
        <v>14</v>
      </c>
      <c r="C14" s="20">
        <v>150</v>
      </c>
      <c r="D14" s="20">
        <v>225</v>
      </c>
      <c r="E14" s="21">
        <v>225</v>
      </c>
      <c r="F14" s="21">
        <v>225</v>
      </c>
      <c r="G14" s="21">
        <v>250</v>
      </c>
      <c r="H14" s="21">
        <v>250</v>
      </c>
      <c r="I14" s="21">
        <v>250</v>
      </c>
      <c r="J14" s="21">
        <v>300</v>
      </c>
    </row>
    <row r="15" spans="2:10" ht="14.55" customHeight="1" x14ac:dyDescent="0.3">
      <c r="B15" s="3" t="s">
        <v>8</v>
      </c>
      <c r="C15" s="20">
        <v>350</v>
      </c>
      <c r="D15" s="20">
        <v>450</v>
      </c>
      <c r="E15" s="21">
        <v>460</v>
      </c>
      <c r="F15" s="21">
        <v>470</v>
      </c>
      <c r="G15" s="21">
        <v>500</v>
      </c>
      <c r="H15" s="21">
        <v>525</v>
      </c>
      <c r="I15" s="21">
        <v>530</v>
      </c>
      <c r="J15" s="21">
        <v>600</v>
      </c>
    </row>
    <row r="16" spans="2:10" ht="15" customHeight="1" x14ac:dyDescent="0.3"/>
    <row r="17" spans="2:13" ht="15" customHeight="1" x14ac:dyDescent="0.3">
      <c r="B17" s="4" t="s">
        <v>0</v>
      </c>
      <c r="C17" s="15"/>
      <c r="D17" s="15"/>
    </row>
    <row r="18" spans="2:13" ht="15" customHeight="1" x14ac:dyDescent="0.3">
      <c r="C18" s="11" t="s">
        <v>21</v>
      </c>
      <c r="D18" s="11" t="s">
        <v>22</v>
      </c>
      <c r="E18" s="11" t="s">
        <v>23</v>
      </c>
      <c r="F18" s="11" t="s">
        <v>24</v>
      </c>
      <c r="G18" s="11" t="s">
        <v>25</v>
      </c>
      <c r="H18" s="11" t="s">
        <v>26</v>
      </c>
      <c r="I18" s="11" t="s">
        <v>27</v>
      </c>
      <c r="J18" s="11" t="s">
        <v>28</v>
      </c>
    </row>
    <row r="19" spans="2:13" ht="15" customHeight="1" x14ac:dyDescent="0.3">
      <c r="B19" s="29" t="s">
        <v>47</v>
      </c>
      <c r="C19" s="22"/>
      <c r="D19" s="22"/>
      <c r="E19" s="22"/>
      <c r="F19" s="22"/>
      <c r="G19" s="22"/>
      <c r="H19" s="22"/>
      <c r="I19" s="22"/>
      <c r="J19" s="22"/>
    </row>
    <row r="20" spans="2:13" ht="15" customHeight="1" x14ac:dyDescent="0.3">
      <c r="B20" s="10" t="s">
        <v>48</v>
      </c>
      <c r="C20" s="22"/>
      <c r="D20" s="22"/>
      <c r="E20" s="22"/>
      <c r="F20" s="22"/>
      <c r="G20" s="22"/>
      <c r="H20" s="22"/>
      <c r="I20" s="22"/>
      <c r="J20" s="22"/>
    </row>
    <row r="21" spans="2:13" ht="15" customHeight="1" x14ac:dyDescent="0.3">
      <c r="B21" s="7"/>
    </row>
    <row r="22" spans="2:13" ht="15" customHeight="1" x14ac:dyDescent="0.3">
      <c r="B22" s="7"/>
    </row>
    <row r="23" spans="2:13" ht="15" customHeight="1" x14ac:dyDescent="0.3">
      <c r="B23" s="4" t="s">
        <v>1</v>
      </c>
      <c r="C23" s="15"/>
      <c r="D23" s="15"/>
    </row>
    <row r="24" spans="2:13" ht="15" customHeight="1" x14ac:dyDescent="0.3">
      <c r="C24" s="11" t="s">
        <v>21</v>
      </c>
      <c r="D24" s="11" t="s">
        <v>22</v>
      </c>
      <c r="E24" s="11" t="s">
        <v>23</v>
      </c>
      <c r="F24" s="11" t="s">
        <v>24</v>
      </c>
      <c r="G24" s="11" t="s">
        <v>25</v>
      </c>
      <c r="H24" s="11" t="s">
        <v>26</v>
      </c>
      <c r="I24" s="11" t="s">
        <v>27</v>
      </c>
      <c r="J24" s="11" t="s">
        <v>28</v>
      </c>
    </row>
    <row r="25" spans="2:13" ht="15" customHeight="1" x14ac:dyDescent="0.3">
      <c r="B25" s="7" t="s">
        <v>43</v>
      </c>
      <c r="C25" s="76">
        <f t="shared" ref="C25:J26" si="0">C$15-C$14-C$11*$C$5-C12*$C6</f>
        <v>127.5</v>
      </c>
      <c r="D25" s="76">
        <f t="shared" si="0"/>
        <v>132</v>
      </c>
      <c r="E25" s="76">
        <f t="shared" si="0"/>
        <v>142</v>
      </c>
      <c r="F25" s="76">
        <f t="shared" si="0"/>
        <v>152</v>
      </c>
      <c r="G25" s="76">
        <f t="shared" si="0"/>
        <v>142</v>
      </c>
      <c r="H25" s="76">
        <f t="shared" si="0"/>
        <v>167</v>
      </c>
      <c r="I25" s="76">
        <f t="shared" si="0"/>
        <v>172</v>
      </c>
      <c r="J25" s="76">
        <f t="shared" si="0"/>
        <v>177</v>
      </c>
    </row>
    <row r="26" spans="2:13" ht="15" customHeight="1" x14ac:dyDescent="0.3">
      <c r="B26" s="7" t="s">
        <v>44</v>
      </c>
      <c r="C26" s="76">
        <f t="shared" si="0"/>
        <v>122</v>
      </c>
      <c r="D26" s="76">
        <f t="shared" si="0"/>
        <v>127.5</v>
      </c>
      <c r="E26" s="76">
        <f t="shared" si="0"/>
        <v>137.5</v>
      </c>
      <c r="F26" s="76">
        <f t="shared" si="0"/>
        <v>147.5</v>
      </c>
      <c r="G26" s="76">
        <f t="shared" si="0"/>
        <v>138.5</v>
      </c>
      <c r="H26" s="76">
        <f t="shared" si="0"/>
        <v>163.5</v>
      </c>
      <c r="I26" s="76">
        <f t="shared" si="0"/>
        <v>160</v>
      </c>
      <c r="J26" s="76">
        <f t="shared" si="0"/>
        <v>174.5</v>
      </c>
    </row>
    <row r="27" spans="2:13" ht="15" customHeight="1" x14ac:dyDescent="0.3">
      <c r="C27" s="24"/>
      <c r="D27" s="24"/>
    </row>
    <row r="28" spans="2:13" ht="15" customHeight="1" x14ac:dyDescent="0.3">
      <c r="B28" s="10" t="s">
        <v>46</v>
      </c>
      <c r="C28" s="25"/>
    </row>
    <row r="29" spans="2:13" ht="15" customHeight="1" x14ac:dyDescent="0.3"/>
    <row r="30" spans="2:13" ht="15" customHeight="1" x14ac:dyDescent="0.3">
      <c r="B30" s="4" t="s">
        <v>2</v>
      </c>
    </row>
    <row r="31" spans="2:13" x14ac:dyDescent="0.3">
      <c r="C31" s="15"/>
      <c r="D31" s="15"/>
      <c r="E31" s="15"/>
      <c r="F31" s="15"/>
      <c r="G31" s="15"/>
      <c r="H31" s="15"/>
      <c r="I31" s="15"/>
      <c r="J31" s="15"/>
      <c r="K31" s="15" t="s">
        <v>5</v>
      </c>
      <c r="L31" s="15"/>
      <c r="M31" s="15" t="s">
        <v>17</v>
      </c>
    </row>
    <row r="32" spans="2:13" x14ac:dyDescent="0.3">
      <c r="C32" s="11" t="s">
        <v>21</v>
      </c>
      <c r="D32" s="11" t="s">
        <v>22</v>
      </c>
      <c r="E32" s="11" t="s">
        <v>23</v>
      </c>
      <c r="F32" s="11" t="s">
        <v>24</v>
      </c>
      <c r="G32" s="11" t="s">
        <v>25</v>
      </c>
      <c r="H32" s="11" t="s">
        <v>26</v>
      </c>
      <c r="I32" s="11" t="s">
        <v>27</v>
      </c>
      <c r="J32" s="11" t="s">
        <v>28</v>
      </c>
      <c r="K32" s="11" t="s">
        <v>4</v>
      </c>
      <c r="L32" s="11"/>
      <c r="M32" s="11" t="s">
        <v>3</v>
      </c>
    </row>
    <row r="33" spans="2:17" x14ac:dyDescent="0.3">
      <c r="B33" s="1" t="s">
        <v>10</v>
      </c>
      <c r="C33" s="18">
        <f>C11</f>
        <v>4</v>
      </c>
      <c r="D33" s="18">
        <f t="shared" ref="D33:J33" si="1">D11</f>
        <v>5</v>
      </c>
      <c r="E33" s="18">
        <f t="shared" si="1"/>
        <v>5</v>
      </c>
      <c r="F33" s="18">
        <f t="shared" si="1"/>
        <v>5</v>
      </c>
      <c r="G33" s="18">
        <f t="shared" si="1"/>
        <v>5.5</v>
      </c>
      <c r="H33" s="18">
        <f t="shared" si="1"/>
        <v>5.5</v>
      </c>
      <c r="I33" s="18">
        <f t="shared" si="1"/>
        <v>5.5</v>
      </c>
      <c r="J33" s="18">
        <f t="shared" si="1"/>
        <v>6</v>
      </c>
      <c r="K33" s="26"/>
      <c r="L33" s="5" t="s">
        <v>18</v>
      </c>
      <c r="M33" s="18">
        <v>20000</v>
      </c>
    </row>
    <row r="34" spans="2:17" x14ac:dyDescent="0.3">
      <c r="B34" s="7" t="s">
        <v>37</v>
      </c>
      <c r="C34" s="18">
        <f>C12</f>
        <v>1.5</v>
      </c>
      <c r="D34" s="18">
        <f t="shared" ref="D34:J35" si="2">D12</f>
        <v>2</v>
      </c>
      <c r="E34" s="18">
        <f t="shared" si="2"/>
        <v>2</v>
      </c>
      <c r="F34" s="18">
        <f t="shared" si="2"/>
        <v>2</v>
      </c>
      <c r="G34" s="18">
        <f t="shared" si="2"/>
        <v>2.5</v>
      </c>
      <c r="H34" s="18">
        <f t="shared" si="2"/>
        <v>2.5</v>
      </c>
      <c r="I34" s="18">
        <f t="shared" si="2"/>
        <v>2.5</v>
      </c>
      <c r="J34" s="18">
        <f t="shared" si="2"/>
        <v>3</v>
      </c>
      <c r="K34" s="26"/>
      <c r="L34" s="5" t="s">
        <v>18</v>
      </c>
      <c r="M34" s="18">
        <v>5000</v>
      </c>
    </row>
    <row r="35" spans="2:17" x14ac:dyDescent="0.3">
      <c r="B35" s="7" t="s">
        <v>38</v>
      </c>
      <c r="C35" s="18">
        <f>C13</f>
        <v>2</v>
      </c>
      <c r="D35" s="18">
        <f t="shared" si="2"/>
        <v>2.5</v>
      </c>
      <c r="E35" s="18">
        <f t="shared" si="2"/>
        <v>2.5</v>
      </c>
      <c r="F35" s="18">
        <f t="shared" si="2"/>
        <v>2.5</v>
      </c>
      <c r="G35" s="18">
        <f t="shared" si="2"/>
        <v>3</v>
      </c>
      <c r="H35" s="18">
        <f t="shared" si="2"/>
        <v>3</v>
      </c>
      <c r="I35" s="18">
        <f t="shared" si="2"/>
        <v>3.5</v>
      </c>
      <c r="J35" s="18">
        <f t="shared" si="2"/>
        <v>3.5</v>
      </c>
      <c r="K35" s="26"/>
      <c r="L35" s="5" t="s">
        <v>18</v>
      </c>
      <c r="M35" s="18">
        <v>6000</v>
      </c>
    </row>
    <row r="36" spans="2:17" x14ac:dyDescent="0.3">
      <c r="B36" s="7" t="s">
        <v>29</v>
      </c>
      <c r="C36" s="19"/>
      <c r="D36" s="19"/>
      <c r="E36" s="19"/>
      <c r="F36" s="19"/>
      <c r="G36" s="19"/>
      <c r="H36" s="19"/>
      <c r="I36" s="19"/>
      <c r="J36" s="19"/>
      <c r="K36" s="26"/>
      <c r="L36" s="5" t="s">
        <v>18</v>
      </c>
      <c r="M36" s="19">
        <v>1500</v>
      </c>
    </row>
    <row r="37" spans="2:17" x14ac:dyDescent="0.3">
      <c r="B37" s="7" t="s">
        <v>30</v>
      </c>
      <c r="C37" s="19"/>
      <c r="D37" s="19"/>
      <c r="E37" s="19"/>
      <c r="F37" s="19"/>
      <c r="G37" s="19"/>
      <c r="H37" s="19"/>
      <c r="I37" s="19"/>
      <c r="J37" s="19"/>
      <c r="K37" s="26"/>
      <c r="L37" s="5" t="s">
        <v>18</v>
      </c>
      <c r="M37" s="19">
        <v>1250</v>
      </c>
    </row>
    <row r="38" spans="2:17" x14ac:dyDescent="0.3">
      <c r="B38" s="7" t="s">
        <v>31</v>
      </c>
      <c r="C38" s="19"/>
      <c r="D38" s="19"/>
      <c r="E38" s="19"/>
      <c r="F38" s="19"/>
      <c r="G38" s="19"/>
      <c r="H38" s="19"/>
      <c r="I38" s="19"/>
      <c r="J38" s="19"/>
      <c r="K38" s="26"/>
      <c r="L38" s="5" t="s">
        <v>18</v>
      </c>
      <c r="M38" s="19">
        <v>1250</v>
      </c>
    </row>
    <row r="39" spans="2:17" x14ac:dyDescent="0.3">
      <c r="B39" s="7" t="s">
        <v>32</v>
      </c>
      <c r="C39" s="19"/>
      <c r="D39" s="19"/>
      <c r="E39" s="19"/>
      <c r="F39" s="19"/>
      <c r="G39" s="19"/>
      <c r="H39" s="19"/>
      <c r="I39" s="19"/>
      <c r="J39" s="19"/>
      <c r="K39" s="26"/>
      <c r="L39" s="5" t="s">
        <v>18</v>
      </c>
      <c r="M39" s="19">
        <v>1250</v>
      </c>
    </row>
    <row r="40" spans="2:17" x14ac:dyDescent="0.3">
      <c r="B40" s="7" t="s">
        <v>33</v>
      </c>
      <c r="C40" s="19"/>
      <c r="D40" s="19"/>
      <c r="E40" s="19"/>
      <c r="F40" s="19"/>
      <c r="G40" s="19"/>
      <c r="H40" s="19"/>
      <c r="I40" s="19"/>
      <c r="J40" s="19"/>
      <c r="K40" s="26"/>
      <c r="L40" s="5" t="s">
        <v>18</v>
      </c>
      <c r="M40" s="19">
        <v>1000</v>
      </c>
    </row>
    <row r="41" spans="2:17" x14ac:dyDescent="0.3">
      <c r="B41" s="7" t="s">
        <v>34</v>
      </c>
      <c r="C41" s="19"/>
      <c r="D41" s="19"/>
      <c r="E41" s="19"/>
      <c r="F41" s="19"/>
      <c r="G41" s="19"/>
      <c r="H41" s="19"/>
      <c r="I41" s="19"/>
      <c r="J41" s="19"/>
      <c r="K41" s="26"/>
      <c r="L41" s="5" t="s">
        <v>18</v>
      </c>
      <c r="M41" s="19">
        <v>1000</v>
      </c>
    </row>
    <row r="42" spans="2:17" x14ac:dyDescent="0.3">
      <c r="B42" s="7" t="s">
        <v>35</v>
      </c>
      <c r="C42" s="19"/>
      <c r="D42" s="19"/>
      <c r="E42" s="19"/>
      <c r="F42" s="19"/>
      <c r="G42" s="19"/>
      <c r="H42" s="19"/>
      <c r="I42" s="19"/>
      <c r="J42" s="19"/>
      <c r="K42" s="26"/>
      <c r="L42" s="5" t="s">
        <v>18</v>
      </c>
      <c r="M42" s="19">
        <v>1000</v>
      </c>
    </row>
    <row r="43" spans="2:17" x14ac:dyDescent="0.3">
      <c r="B43" s="7" t="s">
        <v>36</v>
      </c>
      <c r="C43" s="19"/>
      <c r="D43" s="19"/>
      <c r="E43" s="19"/>
      <c r="F43" s="19"/>
      <c r="G43" s="19"/>
      <c r="H43" s="19"/>
      <c r="I43" s="19"/>
      <c r="J43" s="19"/>
      <c r="K43" s="26"/>
      <c r="L43" s="5" t="s">
        <v>18</v>
      </c>
      <c r="M43" s="19">
        <v>800</v>
      </c>
    </row>
    <row r="48" spans="2:17" x14ac:dyDescent="0.3">
      <c r="Q48" s="10" t="s">
        <v>49</v>
      </c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40595-E462-4E85-9E6A-EEAB71C25EFE}">
  <dimension ref="D2:P35"/>
  <sheetViews>
    <sheetView tabSelected="1" topLeftCell="A8" workbookViewId="0">
      <selection activeCell="M38" sqref="M38"/>
    </sheetView>
  </sheetViews>
  <sheetFormatPr defaultRowHeight="10.199999999999999" x14ac:dyDescent="0.2"/>
  <cols>
    <col min="5" max="5" width="32.85546875" customWidth="1"/>
    <col min="6" max="6" width="30.42578125" customWidth="1"/>
    <col min="7" max="13" width="23.5703125" customWidth="1"/>
    <col min="14" max="14" width="12.5703125" customWidth="1"/>
    <col min="15" max="15" width="17.42578125" customWidth="1"/>
    <col min="16" max="21" width="15.28515625" customWidth="1"/>
  </cols>
  <sheetData>
    <row r="2" spans="4:16" x14ac:dyDescent="0.2">
      <c r="D2" t="s">
        <v>65</v>
      </c>
    </row>
    <row r="3" spans="4:16" ht="16.2" thickBot="1" x14ac:dyDescent="0.35">
      <c r="E3" s="30"/>
      <c r="F3" s="33" t="s">
        <v>21</v>
      </c>
      <c r="G3" s="33" t="s">
        <v>22</v>
      </c>
      <c r="H3" s="33" t="s">
        <v>23</v>
      </c>
      <c r="I3" s="33" t="s">
        <v>24</v>
      </c>
      <c r="J3" s="33" t="s">
        <v>25</v>
      </c>
      <c r="K3" s="33" t="s">
        <v>26</v>
      </c>
      <c r="L3" s="33" t="s">
        <v>27</v>
      </c>
      <c r="M3" s="33" t="s">
        <v>28</v>
      </c>
    </row>
    <row r="4" spans="4:16" ht="16.2" thickBot="1" x14ac:dyDescent="0.25">
      <c r="E4" s="34" t="s">
        <v>47</v>
      </c>
      <c r="F4" s="35" t="s">
        <v>66</v>
      </c>
      <c r="G4" s="36" t="s">
        <v>68</v>
      </c>
      <c r="H4" s="35" t="s">
        <v>67</v>
      </c>
      <c r="I4" s="36" t="s">
        <v>69</v>
      </c>
      <c r="J4" s="35" t="s">
        <v>70</v>
      </c>
      <c r="K4" s="36" t="s">
        <v>71</v>
      </c>
      <c r="L4" s="35" t="s">
        <v>72</v>
      </c>
      <c r="M4" s="36" t="s">
        <v>73</v>
      </c>
    </row>
    <row r="5" spans="4:16" ht="16.2" thickBot="1" x14ac:dyDescent="0.25">
      <c r="E5" s="34" t="s">
        <v>48</v>
      </c>
      <c r="F5" s="37" t="s">
        <v>74</v>
      </c>
      <c r="G5" s="38" t="s">
        <v>75</v>
      </c>
      <c r="H5" s="37" t="s">
        <v>76</v>
      </c>
      <c r="I5" s="38" t="s">
        <v>77</v>
      </c>
      <c r="J5" s="37" t="s">
        <v>78</v>
      </c>
      <c r="K5" s="38" t="s">
        <v>79</v>
      </c>
      <c r="L5" s="37" t="s">
        <v>80</v>
      </c>
      <c r="M5" s="38" t="s">
        <v>81</v>
      </c>
    </row>
    <row r="6" spans="4:16" ht="15.6" x14ac:dyDescent="0.2">
      <c r="E6" s="39"/>
    </row>
    <row r="7" spans="4:16" ht="16.2" thickBot="1" x14ac:dyDescent="0.35">
      <c r="E7" s="30"/>
    </row>
    <row r="8" spans="4:16" ht="29.4" customHeight="1" thickBot="1" x14ac:dyDescent="0.25">
      <c r="E8" s="40" t="s">
        <v>50</v>
      </c>
      <c r="F8" s="41" t="s">
        <v>21</v>
      </c>
      <c r="G8" s="41" t="s">
        <v>22</v>
      </c>
      <c r="H8" s="41" t="s">
        <v>23</v>
      </c>
      <c r="I8" s="41" t="s">
        <v>24</v>
      </c>
      <c r="J8" s="41" t="s">
        <v>25</v>
      </c>
      <c r="K8" s="41" t="s">
        <v>26</v>
      </c>
      <c r="L8" s="41" t="s">
        <v>27</v>
      </c>
      <c r="M8" s="42" t="s">
        <v>28</v>
      </c>
      <c r="N8" s="42" t="s">
        <v>59</v>
      </c>
      <c r="O8" s="41" t="s">
        <v>57</v>
      </c>
    </row>
    <row r="9" spans="4:16" ht="29.4" customHeight="1" thickBot="1" x14ac:dyDescent="0.25">
      <c r="E9" s="43" t="s">
        <v>15</v>
      </c>
      <c r="F9" s="44">
        <v>4</v>
      </c>
      <c r="G9" s="45">
        <v>5</v>
      </c>
      <c r="H9" s="45">
        <v>5</v>
      </c>
      <c r="I9" s="45">
        <v>5</v>
      </c>
      <c r="J9" s="45">
        <v>5.5</v>
      </c>
      <c r="K9" s="45">
        <v>5.5</v>
      </c>
      <c r="L9" s="45">
        <v>5.5</v>
      </c>
      <c r="M9" s="46">
        <v>6</v>
      </c>
      <c r="N9" s="46">
        <v>11</v>
      </c>
      <c r="O9" s="58">
        <v>20000</v>
      </c>
    </row>
    <row r="10" spans="4:16" ht="16.2" thickBot="1" x14ac:dyDescent="0.25">
      <c r="E10" s="43" t="s">
        <v>41</v>
      </c>
      <c r="F10" s="44">
        <v>1.5</v>
      </c>
      <c r="G10" s="45">
        <v>2</v>
      </c>
      <c r="H10" s="45">
        <v>2</v>
      </c>
      <c r="I10" s="45">
        <v>2</v>
      </c>
      <c r="J10" s="45">
        <v>2.5</v>
      </c>
      <c r="K10" s="45">
        <v>2.5</v>
      </c>
      <c r="L10" s="45">
        <v>2.5</v>
      </c>
      <c r="M10" s="46">
        <v>3</v>
      </c>
      <c r="N10" s="46">
        <v>19</v>
      </c>
      <c r="O10" s="55">
        <v>5000</v>
      </c>
    </row>
    <row r="11" spans="4:16" ht="16.2" thickBot="1" x14ac:dyDescent="0.25">
      <c r="E11" s="43" t="s">
        <v>42</v>
      </c>
      <c r="F11" s="44">
        <v>2</v>
      </c>
      <c r="G11" s="45">
        <v>2.5</v>
      </c>
      <c r="H11" s="45">
        <v>2.5</v>
      </c>
      <c r="I11" s="45">
        <v>2.5</v>
      </c>
      <c r="J11" s="45">
        <v>3</v>
      </c>
      <c r="K11" s="45">
        <v>3</v>
      </c>
      <c r="L11" s="45">
        <v>3.5</v>
      </c>
      <c r="M11" s="46">
        <v>3.5</v>
      </c>
      <c r="N11" s="46">
        <v>17</v>
      </c>
      <c r="O11" s="55">
        <v>6000</v>
      </c>
      <c r="P11" s="31"/>
    </row>
    <row r="12" spans="4:16" ht="16.2" thickBot="1" x14ac:dyDescent="0.25">
      <c r="E12" s="47" t="s">
        <v>14</v>
      </c>
      <c r="F12" s="48">
        <v>150</v>
      </c>
      <c r="G12" s="49">
        <v>225</v>
      </c>
      <c r="H12" s="50">
        <v>225</v>
      </c>
      <c r="I12" s="50">
        <v>225</v>
      </c>
      <c r="J12" s="50">
        <v>250</v>
      </c>
      <c r="K12" s="50">
        <v>250</v>
      </c>
      <c r="L12" s="50">
        <v>250</v>
      </c>
      <c r="M12" s="49">
        <v>300</v>
      </c>
      <c r="N12" s="51"/>
      <c r="O12" s="52"/>
      <c r="P12" s="31"/>
    </row>
    <row r="13" spans="4:16" ht="19.2" customHeight="1" thickBot="1" x14ac:dyDescent="0.35">
      <c r="E13" s="43" t="s">
        <v>8</v>
      </c>
      <c r="F13" s="48">
        <v>350</v>
      </c>
      <c r="G13" s="49">
        <v>450</v>
      </c>
      <c r="H13" s="50">
        <v>460</v>
      </c>
      <c r="I13" s="50">
        <v>470</v>
      </c>
      <c r="J13" s="50">
        <v>500</v>
      </c>
      <c r="K13" s="50">
        <v>525</v>
      </c>
      <c r="L13" s="50">
        <v>530</v>
      </c>
      <c r="M13" s="49">
        <v>600</v>
      </c>
      <c r="N13" s="51"/>
      <c r="O13" s="32"/>
      <c r="P13" s="31"/>
    </row>
    <row r="14" spans="4:16" ht="19.2" customHeight="1" thickBot="1" x14ac:dyDescent="0.25">
      <c r="E14" s="43" t="s">
        <v>58</v>
      </c>
      <c r="F14" s="53">
        <v>1500</v>
      </c>
      <c r="G14" s="54">
        <v>1250</v>
      </c>
      <c r="H14" s="55">
        <v>1250</v>
      </c>
      <c r="I14" s="55">
        <v>1250</v>
      </c>
      <c r="J14" s="55">
        <v>1000</v>
      </c>
      <c r="K14" s="55">
        <v>1000</v>
      </c>
      <c r="L14" s="55">
        <v>1000</v>
      </c>
      <c r="M14" s="54">
        <v>800</v>
      </c>
      <c r="N14" s="51"/>
      <c r="O14" s="52"/>
      <c r="P14" s="31"/>
    </row>
    <row r="15" spans="4:16" ht="19.2" customHeight="1" x14ac:dyDescent="0.2"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</row>
    <row r="16" spans="4:16" ht="20.399999999999999" customHeight="1" x14ac:dyDescent="0.2">
      <c r="P16" s="31"/>
    </row>
    <row r="17" spans="5:16" ht="16.2" thickBot="1" x14ac:dyDescent="0.25">
      <c r="F17" s="33" t="s">
        <v>21</v>
      </c>
      <c r="G17" s="33" t="s">
        <v>22</v>
      </c>
      <c r="H17" s="33" t="s">
        <v>23</v>
      </c>
      <c r="I17" s="33" t="s">
        <v>24</v>
      </c>
      <c r="J17" s="33" t="s">
        <v>25</v>
      </c>
      <c r="K17" s="33" t="s">
        <v>26</v>
      </c>
      <c r="L17" s="33" t="s">
        <v>27</v>
      </c>
      <c r="M17" s="33" t="s">
        <v>28</v>
      </c>
      <c r="P17" s="31"/>
    </row>
    <row r="18" spans="5:16" ht="31.8" thickBot="1" x14ac:dyDescent="0.25">
      <c r="E18" s="34" t="s">
        <v>60</v>
      </c>
      <c r="F18" s="63" t="s">
        <v>108</v>
      </c>
      <c r="G18" s="64" t="s">
        <v>63</v>
      </c>
      <c r="H18" s="64">
        <v>142</v>
      </c>
      <c r="I18" s="64">
        <v>152</v>
      </c>
      <c r="J18" s="64">
        <v>142</v>
      </c>
      <c r="K18" s="64">
        <v>167</v>
      </c>
      <c r="L18" s="64">
        <v>172</v>
      </c>
      <c r="M18" s="64">
        <v>177</v>
      </c>
      <c r="P18" s="31"/>
    </row>
    <row r="19" spans="5:16" ht="31.8" thickBot="1" x14ac:dyDescent="0.25">
      <c r="E19" s="34" t="s">
        <v>61</v>
      </c>
      <c r="F19" s="65" t="s">
        <v>62</v>
      </c>
      <c r="G19" s="66" t="s">
        <v>109</v>
      </c>
      <c r="H19" s="66">
        <v>137.5</v>
      </c>
      <c r="I19" s="66">
        <v>147.5</v>
      </c>
      <c r="J19" s="66">
        <v>138.5</v>
      </c>
      <c r="K19" s="66">
        <v>163.5</v>
      </c>
      <c r="L19" s="66">
        <v>160</v>
      </c>
      <c r="M19" s="66" t="s">
        <v>64</v>
      </c>
    </row>
    <row r="24" spans="5:16" ht="14.4" x14ac:dyDescent="0.3">
      <c r="E24" s="1"/>
      <c r="F24" s="11" t="s">
        <v>21</v>
      </c>
      <c r="G24" s="11" t="s">
        <v>22</v>
      </c>
      <c r="H24" s="11" t="s">
        <v>23</v>
      </c>
      <c r="I24" s="11" t="s">
        <v>24</v>
      </c>
      <c r="J24" s="11" t="s">
        <v>25</v>
      </c>
      <c r="K24" s="11" t="s">
        <v>26</v>
      </c>
      <c r="L24" s="11" t="s">
        <v>27</v>
      </c>
      <c r="M24" s="11" t="s">
        <v>28</v>
      </c>
      <c r="N24" s="11"/>
      <c r="O24" s="11" t="s">
        <v>3</v>
      </c>
    </row>
    <row r="25" spans="5:16" ht="22.8" customHeight="1" x14ac:dyDescent="0.3">
      <c r="E25" s="1" t="s">
        <v>10</v>
      </c>
      <c r="F25" s="56" t="s">
        <v>82</v>
      </c>
      <c r="G25" s="56" t="s">
        <v>83</v>
      </c>
      <c r="H25" s="56"/>
      <c r="I25" s="56"/>
      <c r="J25" s="56"/>
      <c r="K25" s="56"/>
      <c r="L25" s="56"/>
      <c r="M25" s="57"/>
      <c r="N25" s="60" t="s">
        <v>18</v>
      </c>
      <c r="O25" s="61">
        <v>20000</v>
      </c>
    </row>
    <row r="26" spans="5:16" ht="15.6" x14ac:dyDescent="0.3">
      <c r="E26" s="7" t="s">
        <v>37</v>
      </c>
      <c r="F26" s="56" t="s">
        <v>84</v>
      </c>
      <c r="G26" s="56" t="s">
        <v>85</v>
      </c>
      <c r="H26" s="56" t="s">
        <v>86</v>
      </c>
      <c r="I26" s="56" t="s">
        <v>87</v>
      </c>
      <c r="J26" s="56" t="s">
        <v>88</v>
      </c>
      <c r="K26" s="56" t="s">
        <v>89</v>
      </c>
      <c r="L26" s="56" t="s">
        <v>90</v>
      </c>
      <c r="M26" s="57" t="s">
        <v>91</v>
      </c>
      <c r="N26" s="60" t="s">
        <v>18</v>
      </c>
      <c r="O26" s="61">
        <v>5000</v>
      </c>
    </row>
    <row r="27" spans="5:16" ht="15.6" x14ac:dyDescent="0.3">
      <c r="E27" s="7" t="s">
        <v>38</v>
      </c>
      <c r="F27" s="56" t="s">
        <v>92</v>
      </c>
      <c r="G27" s="56" t="s">
        <v>93</v>
      </c>
      <c r="H27" s="56" t="s">
        <v>94</v>
      </c>
      <c r="I27" s="56" t="s">
        <v>99</v>
      </c>
      <c r="J27" s="56" t="s">
        <v>100</v>
      </c>
      <c r="K27" s="56" t="s">
        <v>101</v>
      </c>
      <c r="L27" s="56" t="s">
        <v>102</v>
      </c>
      <c r="M27" s="57" t="s">
        <v>103</v>
      </c>
      <c r="N27" s="60" t="s">
        <v>18</v>
      </c>
      <c r="O27" s="61">
        <v>6000</v>
      </c>
    </row>
    <row r="28" spans="5:16" ht="15.6" x14ac:dyDescent="0.3">
      <c r="E28" s="7" t="s">
        <v>29</v>
      </c>
      <c r="F28" s="59" t="s">
        <v>95</v>
      </c>
      <c r="G28" s="59"/>
      <c r="H28" s="59"/>
      <c r="I28" s="59"/>
      <c r="J28" s="59"/>
      <c r="K28" s="59"/>
      <c r="L28" s="59"/>
      <c r="M28" s="59"/>
      <c r="N28" s="60" t="s">
        <v>18</v>
      </c>
      <c r="O28" s="62">
        <v>1500</v>
      </c>
    </row>
    <row r="29" spans="5:16" ht="15.6" x14ac:dyDescent="0.3">
      <c r="E29" s="7" t="s">
        <v>30</v>
      </c>
      <c r="F29" s="59"/>
      <c r="G29" s="59" t="s">
        <v>96</v>
      </c>
      <c r="H29" s="59"/>
      <c r="I29" s="59"/>
      <c r="J29" s="59"/>
      <c r="K29" s="59"/>
      <c r="L29" s="59"/>
      <c r="M29" s="59"/>
      <c r="N29" s="60" t="s">
        <v>18</v>
      </c>
      <c r="O29" s="62">
        <v>1250</v>
      </c>
    </row>
    <row r="30" spans="5:16" ht="15.6" x14ac:dyDescent="0.3">
      <c r="E30" s="7" t="s">
        <v>31</v>
      </c>
      <c r="F30" s="59"/>
      <c r="G30" s="59"/>
      <c r="H30" s="59" t="s">
        <v>97</v>
      </c>
      <c r="I30" s="59"/>
      <c r="J30" s="59"/>
      <c r="K30" s="59"/>
      <c r="L30" s="59"/>
      <c r="M30" s="59"/>
      <c r="N30" s="60" t="s">
        <v>18</v>
      </c>
      <c r="O30" s="62">
        <v>1250</v>
      </c>
    </row>
    <row r="31" spans="5:16" ht="15.6" x14ac:dyDescent="0.3">
      <c r="E31" s="7" t="s">
        <v>32</v>
      </c>
      <c r="F31" s="59"/>
      <c r="G31" s="59"/>
      <c r="H31" s="59"/>
      <c r="I31" s="59" t="s">
        <v>104</v>
      </c>
      <c r="J31" s="59"/>
      <c r="K31" s="59"/>
      <c r="L31" s="59"/>
      <c r="M31" s="59"/>
      <c r="N31" s="60" t="s">
        <v>18</v>
      </c>
      <c r="O31" s="62">
        <v>1250</v>
      </c>
    </row>
    <row r="32" spans="5:16" ht="15.6" x14ac:dyDescent="0.3">
      <c r="E32" s="7" t="s">
        <v>33</v>
      </c>
      <c r="F32" s="59"/>
      <c r="G32" s="59"/>
      <c r="H32" s="59"/>
      <c r="I32" s="59"/>
      <c r="J32" s="59" t="s">
        <v>105</v>
      </c>
      <c r="K32" s="59"/>
      <c r="L32" s="59"/>
      <c r="M32" s="59"/>
      <c r="N32" s="60" t="s">
        <v>18</v>
      </c>
      <c r="O32" s="62">
        <v>1000</v>
      </c>
    </row>
    <row r="33" spans="5:15" ht="15.6" x14ac:dyDescent="0.3">
      <c r="E33" s="7" t="s">
        <v>34</v>
      </c>
      <c r="F33" s="59"/>
      <c r="G33" s="59"/>
      <c r="H33" s="59"/>
      <c r="I33" s="59"/>
      <c r="J33" s="59"/>
      <c r="K33" s="59" t="s">
        <v>106</v>
      </c>
      <c r="L33" s="59"/>
      <c r="M33" s="59"/>
      <c r="N33" s="60" t="s">
        <v>18</v>
      </c>
      <c r="O33" s="62">
        <v>1000</v>
      </c>
    </row>
    <row r="34" spans="5:15" ht="15.6" x14ac:dyDescent="0.3">
      <c r="E34" s="7" t="s">
        <v>35</v>
      </c>
      <c r="F34" s="59"/>
      <c r="G34" s="59"/>
      <c r="H34" s="59"/>
      <c r="I34" s="59"/>
      <c r="J34" s="59"/>
      <c r="K34" s="59"/>
      <c r="L34" s="59" t="s">
        <v>107</v>
      </c>
      <c r="M34" s="59"/>
      <c r="N34" s="60" t="s">
        <v>18</v>
      </c>
      <c r="O34" s="62">
        <v>1000</v>
      </c>
    </row>
    <row r="35" spans="5:15" ht="15.6" x14ac:dyDescent="0.3">
      <c r="E35" s="7" t="s">
        <v>36</v>
      </c>
      <c r="F35" s="59"/>
      <c r="G35" s="59"/>
      <c r="H35" s="59"/>
      <c r="I35" s="59"/>
      <c r="J35" s="59"/>
      <c r="K35" s="59"/>
      <c r="L35" s="59"/>
      <c r="M35" s="59" t="s">
        <v>98</v>
      </c>
      <c r="N35" s="60" t="s">
        <v>18</v>
      </c>
      <c r="O35" s="62">
        <v>800</v>
      </c>
    </row>
  </sheetData>
  <phoneticPr fontId="27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/>
  </sheetViews>
  <sheetFormatPr defaultRowHeight="10.199999999999999" x14ac:dyDescent="0.2"/>
  <sheetData>
    <row r="1" spans="1:2" x14ac:dyDescent="0.2">
      <c r="A1">
        <v>1</v>
      </c>
    </row>
    <row r="2" spans="1:2" x14ac:dyDescent="0.2">
      <c r="A2" t="s">
        <v>52</v>
      </c>
    </row>
    <row r="3" spans="1:2" x14ac:dyDescent="0.2">
      <c r="A3">
        <v>1</v>
      </c>
    </row>
    <row r="4" spans="1:2" x14ac:dyDescent="0.2">
      <c r="A4">
        <v>350</v>
      </c>
    </row>
    <row r="5" spans="1:2" x14ac:dyDescent="0.2">
      <c r="A5">
        <v>550</v>
      </c>
    </row>
    <row r="6" spans="1:2" x14ac:dyDescent="0.2">
      <c r="A6">
        <v>25</v>
      </c>
    </row>
    <row r="8" spans="1:2" x14ac:dyDescent="0.2">
      <c r="A8" s="12"/>
      <c r="B8" s="12"/>
    </row>
    <row r="9" spans="1:2" x14ac:dyDescent="0.2">
      <c r="A9" t="s">
        <v>53</v>
      </c>
    </row>
    <row r="10" spans="1:2" x14ac:dyDescent="0.2">
      <c r="A10" t="s">
        <v>54</v>
      </c>
    </row>
    <row r="15" spans="1:2" x14ac:dyDescent="0.2">
      <c r="B15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Spreadsheet model1</vt:lpstr>
      <vt:lpstr>Spreadsheet model2</vt:lpstr>
      <vt:lpstr>Calculation of model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Annista Wijayanayake</cp:lastModifiedBy>
  <cp:lastPrinted>2016-03-31T02:17:14Z</cp:lastPrinted>
  <dcterms:created xsi:type="dcterms:W3CDTF">2014-11-18T01:43:09Z</dcterms:created>
  <dcterms:modified xsi:type="dcterms:W3CDTF">2025-03-11T01:26:17Z</dcterms:modified>
</cp:coreProperties>
</file>