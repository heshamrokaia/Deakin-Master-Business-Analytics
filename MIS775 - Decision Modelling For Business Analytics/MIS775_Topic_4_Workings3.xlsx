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eakin365-my.sharepoint.com/personal/annista_wijayanayake_deakin_edu_au/Documents/Documents/0.00  2025-T1/MIS775/MIS775-2025-T1/Week 4-non linear programming/"/>
    </mc:Choice>
  </mc:AlternateContent>
  <xr:revisionPtr revIDLastSave="5352" documentId="11_8BEA07DF552F1FA2A04C42888C71F4F40E4E0D73" xr6:coauthVersionLast="47" xr6:coauthVersionMax="47" xr10:uidLastSave="{E28317C5-D859-4225-902B-D2A1C2FFE4C1}"/>
  <bookViews>
    <workbookView xWindow="0" yWindow="540" windowWidth="24972" windowHeight="15768" tabRatio="860" firstSheet="1" activeTab="1" xr2:uid="{00000000-000D-0000-FFFF-FFFF00000000}"/>
  </bookViews>
  <sheets>
    <sheet name="Instructions" sheetId="51" r:id="rId1"/>
    <sheet name="0. Data" sheetId="52" r:id="rId2"/>
    <sheet name="1. Minimise risk" sheetId="53" r:id="rId3"/>
    <sheet name="2. Maximise return" sheetId="54" r:id="rId4"/>
    <sheet name="3. Maximise Sharpe" sheetId="55" r:id="rId5"/>
    <sheet name="Constant elasticity " sheetId="57" r:id="rId6"/>
    <sheet name="Pricing model" sheetId="46" r:id="rId7"/>
    <sheet name="Modified Exp" sheetId="47" r:id="rId8"/>
    <sheet name="Ad model" sheetId="48" r:id="rId9"/>
    <sheet name="Location model" sheetId="49" r:id="rId10"/>
    <sheet name="Portfolio model" sheetId="50" r:id="rId11"/>
  </sheets>
  <definedNames>
    <definedName name="Number_to_produce">#REF!</definedName>
    <definedName name="Selected_hospital">#REF!</definedName>
    <definedName name="solver_adj" localSheetId="8" hidden="1">'Ad model'!$C$21:$E$21</definedName>
    <definedName name="solver_adj" localSheetId="5" hidden="1">'Constant elasticity '!$C$11:$C$12</definedName>
    <definedName name="solver_adj" localSheetId="9" hidden="1">'Location model'!$C$14:$D$14</definedName>
    <definedName name="solver_adj" localSheetId="7" hidden="1">'Modified Exp'!$C$14:$C$15</definedName>
    <definedName name="solver_adj" localSheetId="10" hidden="1">'Portfolio model'!$C$15:$E$15</definedName>
    <definedName name="solver_adj" localSheetId="6" hidden="1">'Pricing model'!$D$12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8" hidden="1">0.0001</definedName>
    <definedName name="solver_cvg" localSheetId="5" hidden="1">0.0001</definedName>
    <definedName name="solver_cvg" localSheetId="9" hidden="1">0.0001</definedName>
    <definedName name="solver_cvg" localSheetId="7" hidden="1">0.0001</definedName>
    <definedName name="solver_cvg" localSheetId="10" hidden="1">0.0001</definedName>
    <definedName name="solver_cvg" localSheetId="6" hidden="1">0.0001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8" hidden="1">1</definedName>
    <definedName name="solver_drv" localSheetId="5" hidden="1">1</definedName>
    <definedName name="solver_drv" localSheetId="9" hidden="1">1</definedName>
    <definedName name="solver_drv" localSheetId="7" hidden="1">1</definedName>
    <definedName name="solver_drv" localSheetId="10" hidden="1">2</definedName>
    <definedName name="solver_drv" localSheetId="6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8" hidden="1">1</definedName>
    <definedName name="solver_eng" localSheetId="5" hidden="1">1</definedName>
    <definedName name="solver_eng" localSheetId="9" hidden="1">1</definedName>
    <definedName name="solver_eng" localSheetId="7" hidden="1">1</definedName>
    <definedName name="solver_eng" localSheetId="10" hidden="1">1</definedName>
    <definedName name="solver_eng" localSheetId="6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8" hidden="1">1</definedName>
    <definedName name="solver_est" localSheetId="5" hidden="1">1</definedName>
    <definedName name="solver_est" localSheetId="9" hidden="1">1</definedName>
    <definedName name="solver_est" localSheetId="7" hidden="1">1</definedName>
    <definedName name="solver_est" localSheetId="10" hidden="1">1</definedName>
    <definedName name="solver_est" localSheetId="6" hidden="1">1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8" hidden="1">2147483647</definedName>
    <definedName name="solver_itr" localSheetId="5" hidden="1">2147483647</definedName>
    <definedName name="solver_itr" localSheetId="9" hidden="1">2147483647</definedName>
    <definedName name="solver_itr" localSheetId="7" hidden="1">2147483647</definedName>
    <definedName name="solver_itr" localSheetId="10" hidden="1">2147483647</definedName>
    <definedName name="solver_itr" localSheetId="6" hidden="1">2147483647</definedName>
    <definedName name="solver_lhs1" localSheetId="2" hidden="1">'1. Minimise risk'!$B$59</definedName>
    <definedName name="solver_lhs1" localSheetId="3" hidden="1">'2. Maximise return'!$B$59</definedName>
    <definedName name="solver_lhs1" localSheetId="4" hidden="1">'3. Maximise Sharpe'!$B$59</definedName>
    <definedName name="solver_lhs1" localSheetId="8" hidden="1">'Ad model'!$C$21:$E$21</definedName>
    <definedName name="solver_lhs1" localSheetId="7" hidden="1">'Modified Exp'!$C$14</definedName>
    <definedName name="solver_lhs1" localSheetId="10" hidden="1">'Portfolio model'!$B$39</definedName>
    <definedName name="solver_lhs1" localSheetId="6" hidden="1">'Pricing model'!$D$20</definedName>
    <definedName name="solver_lhs2" localSheetId="2" hidden="1">'1. Minimise risk'!$B$59</definedName>
    <definedName name="solver_lhs2" localSheetId="3" hidden="1">'2. Maximise return'!$B$59</definedName>
    <definedName name="solver_lhs2" localSheetId="8" hidden="1">'Ad model'!$C$36:$C$38</definedName>
    <definedName name="solver_lhs2" localSheetId="7" hidden="1">'Modified Exp'!$C$14</definedName>
    <definedName name="solver_lhs2" localSheetId="10" hidden="1">'Portfolio model'!$B$41</definedName>
    <definedName name="solver_lhs3" localSheetId="7" hidden="1">'Modified Exp'!$C$15</definedName>
    <definedName name="solver_lhs4" localSheetId="7" hidden="1">'Modified Exp'!$C$15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8" hidden="1">2147483647</definedName>
    <definedName name="solver_mip" localSheetId="5" hidden="1">2147483647</definedName>
    <definedName name="solver_mip" localSheetId="9" hidden="1">2147483647</definedName>
    <definedName name="solver_mip" localSheetId="7" hidden="1">2147483647</definedName>
    <definedName name="solver_mip" localSheetId="10" hidden="1">2147483647</definedName>
    <definedName name="solver_mip" localSheetId="6" hidden="1">2147483647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8" hidden="1">30</definedName>
    <definedName name="solver_mni" localSheetId="5" hidden="1">30</definedName>
    <definedName name="solver_mni" localSheetId="9" hidden="1">30</definedName>
    <definedName name="solver_mni" localSheetId="7" hidden="1">30</definedName>
    <definedName name="solver_mni" localSheetId="10" hidden="1">30</definedName>
    <definedName name="solver_mni" localSheetId="6" hidden="1">30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8" hidden="1">0.075</definedName>
    <definedName name="solver_mrt" localSheetId="5" hidden="1">0.075</definedName>
    <definedName name="solver_mrt" localSheetId="9" hidden="1">0.075</definedName>
    <definedName name="solver_mrt" localSheetId="7" hidden="1">0.075</definedName>
    <definedName name="solver_mrt" localSheetId="10" hidden="1">0.075</definedName>
    <definedName name="solver_mrt" localSheetId="6" hidden="1">0.075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8" hidden="1">2</definedName>
    <definedName name="solver_msl" localSheetId="5" hidden="1">2</definedName>
    <definedName name="solver_msl" localSheetId="9" hidden="1">2</definedName>
    <definedName name="solver_msl" localSheetId="7" hidden="1">1</definedName>
    <definedName name="solver_msl" localSheetId="10" hidden="1">2</definedName>
    <definedName name="solver_msl" localSheetId="6" hidden="1">2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8" hidden="1">1</definedName>
    <definedName name="solver_neg" localSheetId="5" hidden="1">2</definedName>
    <definedName name="solver_neg" localSheetId="9" hidden="1">1</definedName>
    <definedName name="solver_neg" localSheetId="7" hidden="1">2</definedName>
    <definedName name="solver_neg" localSheetId="10" hidden="1">1</definedName>
    <definedName name="solver_neg" localSheetId="6" hidden="1">1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8" hidden="1">2147483647</definedName>
    <definedName name="solver_nod" localSheetId="5" hidden="1">2147483647</definedName>
    <definedName name="solver_nod" localSheetId="9" hidden="1">2147483647</definedName>
    <definedName name="solver_nod" localSheetId="7" hidden="1">2147483647</definedName>
    <definedName name="solver_nod" localSheetId="10" hidden="1">2147483647</definedName>
    <definedName name="solver_nod" localSheetId="6" hidden="1">2147483647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8" hidden="1">2</definedName>
    <definedName name="solver_num" localSheetId="5" hidden="1">0</definedName>
    <definedName name="solver_num" localSheetId="9" hidden="1">0</definedName>
    <definedName name="solver_num" localSheetId="7" hidden="1">4</definedName>
    <definedName name="solver_num" localSheetId="10" hidden="1">2</definedName>
    <definedName name="solver_num" localSheetId="6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8" hidden="1">1</definedName>
    <definedName name="solver_nwt" localSheetId="5" hidden="1">1</definedName>
    <definedName name="solver_nwt" localSheetId="9" hidden="1">1</definedName>
    <definedName name="solver_nwt" localSheetId="7" hidden="1">1</definedName>
    <definedName name="solver_nwt" localSheetId="10" hidden="1">1</definedName>
    <definedName name="solver_nwt" localSheetId="6" hidden="1">1</definedName>
    <definedName name="solver_opt" localSheetId="8" hidden="1">'Ad model'!$C$32</definedName>
    <definedName name="solver_opt" localSheetId="5" hidden="1">'Constant elasticity '!$E$23</definedName>
    <definedName name="solver_opt" localSheetId="9" hidden="1">'Location model'!$C$26</definedName>
    <definedName name="solver_opt" localSheetId="7" hidden="1">'Modified Exp'!$D$29</definedName>
    <definedName name="solver_opt" localSheetId="10" hidden="1">'Portfolio model'!$D$34</definedName>
    <definedName name="solver_opt" localSheetId="6" hidden="1">'Pricing model'!$D$16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8" hidden="1">0.000001</definedName>
    <definedName name="solver_pre" localSheetId="5" hidden="1">0.000001</definedName>
    <definedName name="solver_pre" localSheetId="9" hidden="1">0.000001</definedName>
    <definedName name="solver_pre" localSheetId="7" hidden="1">0.000001</definedName>
    <definedName name="solver_pre" localSheetId="10" hidden="1">0.000001</definedName>
    <definedName name="solver_pre" localSheetId="6" hidden="1">0.000001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8" hidden="1">1</definedName>
    <definedName name="solver_rbv" localSheetId="5" hidden="1">1</definedName>
    <definedName name="solver_rbv" localSheetId="9" hidden="1">1</definedName>
    <definedName name="solver_rbv" localSheetId="7" hidden="1">1</definedName>
    <definedName name="solver_rbv" localSheetId="10" hidden="1">2</definedName>
    <definedName name="solver_rbv" localSheetId="6" hidden="1">1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8" hidden="1">4</definedName>
    <definedName name="solver_rel1" localSheetId="7" hidden="1">1</definedName>
    <definedName name="solver_rel1" localSheetId="10" hidden="1">3</definedName>
    <definedName name="solver_rel1" localSheetId="6" hidden="1">3</definedName>
    <definedName name="solver_rel2" localSheetId="2" hidden="1">2</definedName>
    <definedName name="solver_rel2" localSheetId="3" hidden="1">2</definedName>
    <definedName name="solver_rel2" localSheetId="8" hidden="1">3</definedName>
    <definedName name="solver_rel2" localSheetId="7" hidden="1">3</definedName>
    <definedName name="solver_rel2" localSheetId="10" hidden="1">2</definedName>
    <definedName name="solver_rel3" localSheetId="7" hidden="1">1</definedName>
    <definedName name="solver_rel4" localSheetId="7" hidden="1">3</definedName>
    <definedName name="solver_rhs1" localSheetId="2" hidden="1">'1. Minimise risk'!$D$59</definedName>
    <definedName name="solver_rhs1" localSheetId="3" hidden="1">'2. Maximise return'!$D$59</definedName>
    <definedName name="solver_rhs1" localSheetId="4" hidden="1">'3. Maximise Sharpe'!$D$59</definedName>
    <definedName name="solver_rhs1" localSheetId="8" hidden="1">integer</definedName>
    <definedName name="solver_rhs1" localSheetId="7" hidden="1">'Modified Exp'!$F$35</definedName>
    <definedName name="solver_rhs1" localSheetId="10" hidden="1">'Portfolio model'!$D$39</definedName>
    <definedName name="solver_rhs1" localSheetId="6" hidden="1">'Pricing model'!$F$20</definedName>
    <definedName name="solver_rhs2" localSheetId="2" hidden="1">'1. Minimise risk'!$D$59</definedName>
    <definedName name="solver_rhs2" localSheetId="3" hidden="1">'2. Maximise return'!$D$59</definedName>
    <definedName name="solver_rhs2" localSheetId="8" hidden="1">'Ad model'!$E$36:$E$38</definedName>
    <definedName name="solver_rhs2" localSheetId="7" hidden="1">'Modified Exp'!$F$34</definedName>
    <definedName name="solver_rhs2" localSheetId="10" hidden="1">'Portfolio model'!$D$41</definedName>
    <definedName name="solver_rhs3" localSheetId="7" hidden="1">'Modified Exp'!$F$37</definedName>
    <definedName name="solver_rhs4" localSheetId="7" hidden="1">'Modified Exp'!$F$36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8" hidden="1">2</definedName>
    <definedName name="solver_rlx" localSheetId="5" hidden="1">2</definedName>
    <definedName name="solver_rlx" localSheetId="9" hidden="1">2</definedName>
    <definedName name="solver_rlx" localSheetId="7" hidden="1">2</definedName>
    <definedName name="solver_rlx" localSheetId="10" hidden="1">2</definedName>
    <definedName name="solver_rlx" localSheetId="6" hidden="1">2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8" hidden="1">0</definedName>
    <definedName name="solver_rsd" localSheetId="5" hidden="1">0</definedName>
    <definedName name="solver_rsd" localSheetId="9" hidden="1">0</definedName>
    <definedName name="solver_rsd" localSheetId="7" hidden="1">0</definedName>
    <definedName name="solver_rsd" localSheetId="10" hidden="1">0</definedName>
    <definedName name="solver_rsd" localSheetId="6" hidden="1">0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8" hidden="1">1</definedName>
    <definedName name="solver_scl" localSheetId="5" hidden="1">1</definedName>
    <definedName name="solver_scl" localSheetId="9" hidden="1">1</definedName>
    <definedName name="solver_scl" localSheetId="7" hidden="1">1</definedName>
    <definedName name="solver_scl" localSheetId="10" hidden="1">2</definedName>
    <definedName name="solver_scl" localSheetId="6" hidden="1">1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8" hidden="1">2</definedName>
    <definedName name="solver_sho" localSheetId="5" hidden="1">2</definedName>
    <definedName name="solver_sho" localSheetId="9" hidden="1">2</definedName>
    <definedName name="solver_sho" localSheetId="7" hidden="1">2</definedName>
    <definedName name="solver_sho" localSheetId="10" hidden="1">2</definedName>
    <definedName name="solver_sho" localSheetId="6" hidden="1">2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8" hidden="1">100</definedName>
    <definedName name="solver_ssz" localSheetId="5" hidden="1">100</definedName>
    <definedName name="solver_ssz" localSheetId="9" hidden="1">100</definedName>
    <definedName name="solver_ssz" localSheetId="7" hidden="1">100</definedName>
    <definedName name="solver_ssz" localSheetId="10" hidden="1">100</definedName>
    <definedName name="solver_ssz" localSheetId="6" hidden="1">100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8" hidden="1">2147483647</definedName>
    <definedName name="solver_tim" localSheetId="5" hidden="1">2147483647</definedName>
    <definedName name="solver_tim" localSheetId="9" hidden="1">2147483647</definedName>
    <definedName name="solver_tim" localSheetId="7" hidden="1">2147483647</definedName>
    <definedName name="solver_tim" localSheetId="10" hidden="1">2147483647</definedName>
    <definedName name="solver_tim" localSheetId="6" hidden="1">2147483647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8" hidden="1">0.01</definedName>
    <definedName name="solver_tol" localSheetId="5" hidden="1">0.01</definedName>
    <definedName name="solver_tol" localSheetId="9" hidden="1">0.01</definedName>
    <definedName name="solver_tol" localSheetId="7" hidden="1">0.01</definedName>
    <definedName name="solver_tol" localSheetId="10" hidden="1">0.01</definedName>
    <definedName name="solver_tol" localSheetId="6" hidden="1">0.01</definedName>
    <definedName name="solver_typ" localSheetId="2" hidden="1">2</definedName>
    <definedName name="solver_typ" localSheetId="3" hidden="1">1</definedName>
    <definedName name="solver_typ" localSheetId="4" hidden="1">1</definedName>
    <definedName name="solver_typ" localSheetId="8" hidden="1">2</definedName>
    <definedName name="solver_typ" localSheetId="5" hidden="1">2</definedName>
    <definedName name="solver_typ" localSheetId="9" hidden="1">2</definedName>
    <definedName name="solver_typ" localSheetId="7" hidden="1">2</definedName>
    <definedName name="solver_typ" localSheetId="10" hidden="1">2</definedName>
    <definedName name="solver_typ" localSheetId="6" hidden="1">1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8" hidden="1">0</definedName>
    <definedName name="solver_val" localSheetId="5" hidden="1">0</definedName>
    <definedName name="solver_val" localSheetId="9" hidden="1">0</definedName>
    <definedName name="solver_val" localSheetId="7" hidden="1">0</definedName>
    <definedName name="solver_val" localSheetId="10" hidden="1">0</definedName>
    <definedName name="solver_val" localSheetId="6" hidden="1">0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8" hidden="1">3</definedName>
    <definedName name="solver_ver" localSheetId="5" hidden="1">3</definedName>
    <definedName name="solver_ver" localSheetId="9" hidden="1">3</definedName>
    <definedName name="solver_ver" localSheetId="7" hidden="1">3</definedName>
    <definedName name="solver_ver" localSheetId="10" hidden="1">3</definedName>
    <definedName name="solver_ver" localSheetId="6" hidden="1">3</definedName>
    <definedName name="Unit_costs_of_inputs">#REF!</definedName>
    <definedName name="Unit_prices_of_outputs">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8" i="57" l="1"/>
  <c r="C19" i="49" l="1"/>
  <c r="C36" i="48"/>
  <c r="D19" i="57"/>
  <c r="C19" i="57"/>
  <c r="E19" i="57" s="1"/>
  <c r="K18" i="57"/>
  <c r="D18" i="57"/>
  <c r="C18" i="57"/>
  <c r="E18" i="57" s="1"/>
  <c r="K17" i="57"/>
  <c r="K16" i="57"/>
  <c r="K15" i="57"/>
  <c r="K14" i="57"/>
  <c r="K13" i="57"/>
  <c r="K12" i="57"/>
  <c r="K11" i="57"/>
  <c r="K10" i="57"/>
  <c r="K9" i="57"/>
  <c r="D10" i="54"/>
  <c r="E10" i="54"/>
  <c r="F10" i="54"/>
  <c r="G10" i="54"/>
  <c r="H10" i="54"/>
  <c r="I10" i="54"/>
  <c r="J10" i="54"/>
  <c r="K10" i="54"/>
  <c r="L10" i="54"/>
  <c r="D11" i="54"/>
  <c r="E11" i="54"/>
  <c r="F11" i="54"/>
  <c r="G11" i="54"/>
  <c r="H11" i="54"/>
  <c r="I11" i="54"/>
  <c r="J11" i="54"/>
  <c r="K11" i="54"/>
  <c r="L11" i="54"/>
  <c r="D12" i="54"/>
  <c r="E12" i="54"/>
  <c r="F12" i="54"/>
  <c r="G12" i="54"/>
  <c r="H12" i="54"/>
  <c r="I12" i="54"/>
  <c r="J12" i="54"/>
  <c r="K12" i="54"/>
  <c r="L12" i="54"/>
  <c r="D13" i="54"/>
  <c r="E13" i="54"/>
  <c r="F13" i="54"/>
  <c r="G13" i="54"/>
  <c r="H13" i="54"/>
  <c r="I13" i="54"/>
  <c r="J13" i="54"/>
  <c r="K13" i="54"/>
  <c r="L13" i="54"/>
  <c r="D14" i="54"/>
  <c r="E14" i="54"/>
  <c r="F14" i="54"/>
  <c r="G14" i="54"/>
  <c r="H14" i="54"/>
  <c r="I14" i="54"/>
  <c r="J14" i="54"/>
  <c r="K14" i="54"/>
  <c r="L14" i="54"/>
  <c r="D15" i="54"/>
  <c r="E15" i="54"/>
  <c r="F15" i="54"/>
  <c r="G15" i="54"/>
  <c r="H15" i="54"/>
  <c r="I15" i="54"/>
  <c r="J15" i="54"/>
  <c r="K15" i="54"/>
  <c r="L15" i="54"/>
  <c r="D16" i="54"/>
  <c r="E16" i="54"/>
  <c r="F16" i="54"/>
  <c r="G16" i="54"/>
  <c r="H16" i="54"/>
  <c r="I16" i="54"/>
  <c r="J16" i="54"/>
  <c r="K16" i="54"/>
  <c r="L16" i="54"/>
  <c r="D17" i="54"/>
  <c r="E17" i="54"/>
  <c r="F17" i="54"/>
  <c r="G17" i="54"/>
  <c r="H17" i="54"/>
  <c r="I17" i="54"/>
  <c r="J17" i="54"/>
  <c r="K17" i="54"/>
  <c r="L17" i="54"/>
  <c r="E9" i="54"/>
  <c r="F9" i="54"/>
  <c r="G9" i="54"/>
  <c r="H9" i="54"/>
  <c r="I9" i="54"/>
  <c r="J9" i="54"/>
  <c r="K9" i="54"/>
  <c r="L9" i="54"/>
  <c r="E6" i="54"/>
  <c r="F6" i="54"/>
  <c r="G6" i="54"/>
  <c r="H6" i="54"/>
  <c r="I6" i="54"/>
  <c r="J6" i="54"/>
  <c r="K6" i="54"/>
  <c r="L6" i="54"/>
  <c r="D9" i="54"/>
  <c r="D6" i="54"/>
  <c r="D10" i="55"/>
  <c r="E10" i="55"/>
  <c r="F10" i="55"/>
  <c r="G10" i="55"/>
  <c r="H10" i="55"/>
  <c r="I10" i="55"/>
  <c r="J10" i="55"/>
  <c r="K10" i="55"/>
  <c r="L10" i="55"/>
  <c r="D11" i="55"/>
  <c r="E11" i="55"/>
  <c r="F11" i="55"/>
  <c r="G11" i="55"/>
  <c r="H11" i="55"/>
  <c r="I11" i="55"/>
  <c r="J11" i="55"/>
  <c r="K11" i="55"/>
  <c r="L11" i="55"/>
  <c r="D12" i="55"/>
  <c r="E12" i="55"/>
  <c r="F12" i="55"/>
  <c r="G12" i="55"/>
  <c r="H12" i="55"/>
  <c r="I12" i="55"/>
  <c r="J12" i="55"/>
  <c r="K12" i="55"/>
  <c r="L12" i="55"/>
  <c r="D13" i="55"/>
  <c r="E13" i="55"/>
  <c r="F13" i="55"/>
  <c r="G13" i="55"/>
  <c r="H13" i="55"/>
  <c r="I13" i="55"/>
  <c r="J13" i="55"/>
  <c r="K13" i="55"/>
  <c r="L13" i="55"/>
  <c r="D14" i="55"/>
  <c r="E14" i="55"/>
  <c r="F14" i="55"/>
  <c r="G14" i="55"/>
  <c r="H14" i="55"/>
  <c r="I14" i="55"/>
  <c r="J14" i="55"/>
  <c r="K14" i="55"/>
  <c r="L14" i="55"/>
  <c r="D15" i="55"/>
  <c r="E15" i="55"/>
  <c r="F15" i="55"/>
  <c r="G15" i="55"/>
  <c r="H15" i="55"/>
  <c r="I15" i="55"/>
  <c r="J15" i="55"/>
  <c r="K15" i="55"/>
  <c r="L15" i="55"/>
  <c r="D16" i="55"/>
  <c r="E16" i="55"/>
  <c r="F16" i="55"/>
  <c r="G16" i="55"/>
  <c r="H16" i="55"/>
  <c r="I16" i="55"/>
  <c r="J16" i="55"/>
  <c r="K16" i="55"/>
  <c r="L16" i="55"/>
  <c r="D17" i="55"/>
  <c r="E17" i="55"/>
  <c r="F17" i="55"/>
  <c r="G17" i="55"/>
  <c r="H17" i="55"/>
  <c r="I17" i="55"/>
  <c r="J17" i="55"/>
  <c r="K17" i="55"/>
  <c r="L17" i="55"/>
  <c r="E9" i="55"/>
  <c r="F9" i="55"/>
  <c r="G9" i="55"/>
  <c r="H9" i="55"/>
  <c r="I9" i="55"/>
  <c r="J9" i="55"/>
  <c r="K9" i="55"/>
  <c r="L9" i="55"/>
  <c r="D9" i="55"/>
  <c r="E6" i="55"/>
  <c r="F6" i="55"/>
  <c r="G6" i="55"/>
  <c r="H6" i="55"/>
  <c r="I6" i="55"/>
  <c r="J6" i="55"/>
  <c r="K6" i="55"/>
  <c r="L6" i="55"/>
  <c r="D6" i="55"/>
  <c r="L35" i="55" l="1"/>
  <c r="K35" i="55"/>
  <c r="J35" i="55"/>
  <c r="I35" i="55"/>
  <c r="H35" i="55"/>
  <c r="G35" i="55"/>
  <c r="F35" i="55"/>
  <c r="E35" i="55"/>
  <c r="D35" i="55"/>
  <c r="L34" i="55"/>
  <c r="K34" i="55"/>
  <c r="J34" i="55"/>
  <c r="I34" i="55"/>
  <c r="H34" i="55"/>
  <c r="G34" i="55"/>
  <c r="F34" i="55"/>
  <c r="E34" i="55"/>
  <c r="D34" i="55"/>
  <c r="L33" i="55"/>
  <c r="K33" i="55"/>
  <c r="J33" i="55"/>
  <c r="I33" i="55"/>
  <c r="H33" i="55"/>
  <c r="G33" i="55"/>
  <c r="F33" i="55"/>
  <c r="E33" i="55"/>
  <c r="D33" i="55"/>
  <c r="L32" i="55"/>
  <c r="K32" i="55"/>
  <c r="J32" i="55"/>
  <c r="I32" i="55"/>
  <c r="H32" i="55"/>
  <c r="G32" i="55"/>
  <c r="F32" i="55"/>
  <c r="E32" i="55"/>
  <c r="D32" i="55"/>
  <c r="L31" i="55"/>
  <c r="K31" i="55"/>
  <c r="J31" i="55"/>
  <c r="I31" i="55"/>
  <c r="H31" i="55"/>
  <c r="G31" i="55"/>
  <c r="F31" i="55"/>
  <c r="E31" i="55"/>
  <c r="D31" i="55"/>
  <c r="L30" i="55"/>
  <c r="K30" i="55"/>
  <c r="J30" i="55"/>
  <c r="I30" i="55"/>
  <c r="H30" i="55"/>
  <c r="G30" i="55"/>
  <c r="F30" i="55"/>
  <c r="E30" i="55"/>
  <c r="D30" i="55"/>
  <c r="L29" i="55"/>
  <c r="K29" i="55"/>
  <c r="J29" i="55"/>
  <c r="I29" i="55"/>
  <c r="H29" i="55"/>
  <c r="G29" i="55"/>
  <c r="F29" i="55"/>
  <c r="E29" i="55"/>
  <c r="D29" i="55"/>
  <c r="L28" i="55"/>
  <c r="K28" i="55"/>
  <c r="J28" i="55"/>
  <c r="I28" i="55"/>
  <c r="H28" i="55"/>
  <c r="G28" i="55"/>
  <c r="F28" i="55"/>
  <c r="E28" i="55"/>
  <c r="D28" i="55"/>
  <c r="L27" i="55"/>
  <c r="K27" i="55"/>
  <c r="J27" i="55"/>
  <c r="I27" i="55"/>
  <c r="H27" i="55"/>
  <c r="G27" i="55"/>
  <c r="F27" i="55"/>
  <c r="E27" i="55"/>
  <c r="D27" i="55"/>
  <c r="L35" i="54"/>
  <c r="K35" i="54"/>
  <c r="J35" i="54"/>
  <c r="I35" i="54"/>
  <c r="H35" i="54"/>
  <c r="G35" i="54"/>
  <c r="F35" i="54"/>
  <c r="E35" i="54"/>
  <c r="D35" i="54"/>
  <c r="L34" i="54"/>
  <c r="K34" i="54"/>
  <c r="J34" i="54"/>
  <c r="I34" i="54"/>
  <c r="H34" i="54"/>
  <c r="G34" i="54"/>
  <c r="F34" i="54"/>
  <c r="E34" i="54"/>
  <c r="D34" i="54"/>
  <c r="L33" i="54"/>
  <c r="K33" i="54"/>
  <c r="J33" i="54"/>
  <c r="I33" i="54"/>
  <c r="H33" i="54"/>
  <c r="G33" i="54"/>
  <c r="F33" i="54"/>
  <c r="E33" i="54"/>
  <c r="D33" i="54"/>
  <c r="L32" i="54"/>
  <c r="K32" i="54"/>
  <c r="J32" i="54"/>
  <c r="I32" i="54"/>
  <c r="H32" i="54"/>
  <c r="G32" i="54"/>
  <c r="F32" i="54"/>
  <c r="E32" i="54"/>
  <c r="D32" i="54"/>
  <c r="L31" i="54"/>
  <c r="K31" i="54"/>
  <c r="J31" i="54"/>
  <c r="I31" i="54"/>
  <c r="H31" i="54"/>
  <c r="G31" i="54"/>
  <c r="F31" i="54"/>
  <c r="E31" i="54"/>
  <c r="D31" i="54"/>
  <c r="L30" i="54"/>
  <c r="K30" i="54"/>
  <c r="J30" i="54"/>
  <c r="I30" i="54"/>
  <c r="H30" i="54"/>
  <c r="G30" i="54"/>
  <c r="F30" i="54"/>
  <c r="E30" i="54"/>
  <c r="D30" i="54"/>
  <c r="L29" i="54"/>
  <c r="K29" i="54"/>
  <c r="J29" i="54"/>
  <c r="I29" i="54"/>
  <c r="H29" i="54"/>
  <c r="G29" i="54"/>
  <c r="F29" i="54"/>
  <c r="E29" i="54"/>
  <c r="D29" i="54"/>
  <c r="L28" i="54"/>
  <c r="K28" i="54"/>
  <c r="J28" i="54"/>
  <c r="I28" i="54"/>
  <c r="H28" i="54"/>
  <c r="G28" i="54"/>
  <c r="F28" i="54"/>
  <c r="E28" i="54"/>
  <c r="D28" i="54"/>
  <c r="L27" i="54"/>
  <c r="K27" i="54"/>
  <c r="J27" i="54"/>
  <c r="I27" i="54"/>
  <c r="H27" i="54"/>
  <c r="G27" i="54"/>
  <c r="F27" i="54"/>
  <c r="E27" i="54"/>
  <c r="D27" i="54"/>
  <c r="D28" i="53"/>
  <c r="E28" i="53"/>
  <c r="F28" i="53"/>
  <c r="G28" i="53"/>
  <c r="H28" i="53"/>
  <c r="I28" i="53"/>
  <c r="J28" i="53"/>
  <c r="K28" i="53"/>
  <c r="L28" i="53"/>
  <c r="D29" i="53"/>
  <c r="E29" i="53"/>
  <c r="F29" i="53"/>
  <c r="G29" i="53"/>
  <c r="H29" i="53"/>
  <c r="I29" i="53"/>
  <c r="J29" i="53"/>
  <c r="K29" i="53"/>
  <c r="L29" i="53"/>
  <c r="D30" i="53"/>
  <c r="E30" i="53"/>
  <c r="F30" i="53"/>
  <c r="G30" i="53"/>
  <c r="H30" i="53"/>
  <c r="I30" i="53"/>
  <c r="J30" i="53"/>
  <c r="K30" i="53"/>
  <c r="L30" i="53"/>
  <c r="D31" i="53"/>
  <c r="E31" i="53"/>
  <c r="F31" i="53"/>
  <c r="G31" i="53"/>
  <c r="H31" i="53"/>
  <c r="I31" i="53"/>
  <c r="J31" i="53"/>
  <c r="K31" i="53"/>
  <c r="L31" i="53"/>
  <c r="D32" i="53"/>
  <c r="E32" i="53"/>
  <c r="F32" i="53"/>
  <c r="G32" i="53"/>
  <c r="H32" i="53"/>
  <c r="I32" i="53"/>
  <c r="J32" i="53"/>
  <c r="K32" i="53"/>
  <c r="L32" i="53"/>
  <c r="D33" i="53"/>
  <c r="E33" i="53"/>
  <c r="F33" i="53"/>
  <c r="G33" i="53"/>
  <c r="H33" i="53"/>
  <c r="I33" i="53"/>
  <c r="J33" i="53"/>
  <c r="K33" i="53"/>
  <c r="L33" i="53"/>
  <c r="D34" i="53"/>
  <c r="E34" i="53"/>
  <c r="F34" i="53"/>
  <c r="G34" i="53"/>
  <c r="H34" i="53"/>
  <c r="I34" i="53"/>
  <c r="J34" i="53"/>
  <c r="K34" i="53"/>
  <c r="L34" i="53"/>
  <c r="D35" i="53"/>
  <c r="E35" i="53"/>
  <c r="F35" i="53"/>
  <c r="G35" i="53"/>
  <c r="H35" i="53"/>
  <c r="I35" i="53"/>
  <c r="J35" i="53"/>
  <c r="K35" i="53"/>
  <c r="L35" i="53"/>
  <c r="E27" i="53"/>
  <c r="F27" i="53"/>
  <c r="G27" i="53"/>
  <c r="H27" i="53"/>
  <c r="I27" i="53"/>
  <c r="J27" i="53"/>
  <c r="K27" i="53"/>
  <c r="L27" i="53"/>
  <c r="D27" i="53"/>
  <c r="B59" i="55"/>
  <c r="B35" i="55"/>
  <c r="B34" i="55"/>
  <c r="B33" i="55"/>
  <c r="B32" i="55"/>
  <c r="B31" i="55"/>
  <c r="B30" i="55"/>
  <c r="B29" i="55"/>
  <c r="B28" i="55"/>
  <c r="B27" i="55"/>
  <c r="L25" i="55"/>
  <c r="K25" i="55"/>
  <c r="J25" i="55"/>
  <c r="I25" i="55"/>
  <c r="H25" i="55"/>
  <c r="G25" i="55"/>
  <c r="F25" i="55"/>
  <c r="E25" i="55"/>
  <c r="D25" i="55"/>
  <c r="D39" i="55" l="1"/>
  <c r="D43" i="55"/>
  <c r="G39" i="55"/>
  <c r="K43" i="55"/>
  <c r="E41" i="55"/>
  <c r="I45" i="55"/>
  <c r="E38" i="55"/>
  <c r="D42" i="55"/>
  <c r="E46" i="55"/>
  <c r="H46" i="55"/>
  <c r="L42" i="55"/>
  <c r="L38" i="55"/>
  <c r="D46" i="55"/>
  <c r="H42" i="55"/>
  <c r="G44" i="55"/>
  <c r="H38" i="55"/>
  <c r="E42" i="55"/>
  <c r="G40" i="55"/>
  <c r="F41" i="55"/>
  <c r="F45" i="55"/>
  <c r="L46" i="55"/>
  <c r="E45" i="55"/>
  <c r="I41" i="55"/>
  <c r="F44" i="55"/>
  <c r="G43" i="55"/>
  <c r="J40" i="55"/>
  <c r="F40" i="55"/>
  <c r="K39" i="55"/>
  <c r="K38" i="55"/>
  <c r="G38" i="55"/>
  <c r="K46" i="55"/>
  <c r="G46" i="55"/>
  <c r="L45" i="55"/>
  <c r="H45" i="55"/>
  <c r="D45" i="55"/>
  <c r="I44" i="55"/>
  <c r="E44" i="55"/>
  <c r="J43" i="55"/>
  <c r="F43" i="55"/>
  <c r="K42" i="55"/>
  <c r="G42" i="55"/>
  <c r="L41" i="55"/>
  <c r="H41" i="55"/>
  <c r="D41" i="55"/>
  <c r="I40" i="55"/>
  <c r="E40" i="55"/>
  <c r="J39" i="55"/>
  <c r="F39" i="55"/>
  <c r="J38" i="55"/>
  <c r="F38" i="55"/>
  <c r="J46" i="55"/>
  <c r="F46" i="55"/>
  <c r="K45" i="55"/>
  <c r="G45" i="55"/>
  <c r="L44" i="55"/>
  <c r="H44" i="55"/>
  <c r="D44" i="55"/>
  <c r="I43" i="55"/>
  <c r="E43" i="55"/>
  <c r="J42" i="55"/>
  <c r="F42" i="55"/>
  <c r="K41" i="55"/>
  <c r="G41" i="55"/>
  <c r="L40" i="55"/>
  <c r="H40" i="55"/>
  <c r="D40" i="55"/>
  <c r="I39" i="55"/>
  <c r="E39" i="55"/>
  <c r="J44" i="55"/>
  <c r="D38" i="55"/>
  <c r="I38" i="55"/>
  <c r="I46" i="55"/>
  <c r="J45" i="55"/>
  <c r="K44" i="55"/>
  <c r="L43" i="55"/>
  <c r="H43" i="55"/>
  <c r="I42" i="55"/>
  <c r="J41" i="55"/>
  <c r="K40" i="55"/>
  <c r="L39" i="55"/>
  <c r="H39" i="55"/>
  <c r="D48" i="55" l="1"/>
  <c r="B59" i="54" l="1"/>
  <c r="B35" i="54"/>
  <c r="B34" i="54"/>
  <c r="B33" i="54"/>
  <c r="B32" i="54"/>
  <c r="B31" i="54"/>
  <c r="B30" i="54"/>
  <c r="B29" i="54"/>
  <c r="B28" i="54"/>
  <c r="B27" i="54"/>
  <c r="L25" i="54"/>
  <c r="K25" i="54"/>
  <c r="J25" i="54"/>
  <c r="I25" i="54"/>
  <c r="H25" i="54"/>
  <c r="G25" i="54"/>
  <c r="F25" i="54"/>
  <c r="E25" i="54"/>
  <c r="D25" i="54"/>
  <c r="D42" i="54" l="1"/>
  <c r="H42" i="54"/>
  <c r="L42" i="54"/>
  <c r="E42" i="54"/>
  <c r="I42" i="54"/>
  <c r="F42" i="54"/>
  <c r="J42" i="54"/>
  <c r="G42" i="54"/>
  <c r="K42" i="54"/>
  <c r="D46" i="54"/>
  <c r="H46" i="54"/>
  <c r="L46" i="54"/>
  <c r="E46" i="54"/>
  <c r="I46" i="54"/>
  <c r="F46" i="54"/>
  <c r="J46" i="54"/>
  <c r="G46" i="54"/>
  <c r="K46" i="54"/>
  <c r="G43" i="54"/>
  <c r="K43" i="54"/>
  <c r="D43" i="54"/>
  <c r="H43" i="54"/>
  <c r="L43" i="54"/>
  <c r="E43" i="54"/>
  <c r="I43" i="54"/>
  <c r="F43" i="54"/>
  <c r="J43" i="54"/>
  <c r="H38" i="54"/>
  <c r="L38" i="54"/>
  <c r="D38" i="54"/>
  <c r="E38" i="54"/>
  <c r="I38" i="54"/>
  <c r="F38" i="54"/>
  <c r="J38" i="54"/>
  <c r="G38" i="54"/>
  <c r="K38" i="54"/>
  <c r="G39" i="54"/>
  <c r="K39" i="54"/>
  <c r="D39" i="54"/>
  <c r="H39" i="54"/>
  <c r="L39" i="54"/>
  <c r="E39" i="54"/>
  <c r="I39" i="54"/>
  <c r="F39" i="54"/>
  <c r="J39" i="54"/>
  <c r="F40" i="54"/>
  <c r="J40" i="54"/>
  <c r="G40" i="54"/>
  <c r="K40" i="54"/>
  <c r="D40" i="54"/>
  <c r="H40" i="54"/>
  <c r="L40" i="54"/>
  <c r="E40" i="54"/>
  <c r="I40" i="54"/>
  <c r="F44" i="54"/>
  <c r="J44" i="54"/>
  <c r="G44" i="54"/>
  <c r="K44" i="54"/>
  <c r="D44" i="54"/>
  <c r="H44" i="54"/>
  <c r="L44" i="54"/>
  <c r="E44" i="54"/>
  <c r="I44" i="54"/>
  <c r="E41" i="54"/>
  <c r="I41" i="54"/>
  <c r="F41" i="54"/>
  <c r="J41" i="54"/>
  <c r="G41" i="54"/>
  <c r="K41" i="54"/>
  <c r="D41" i="54"/>
  <c r="H41" i="54"/>
  <c r="L41" i="54"/>
  <c r="E45" i="54"/>
  <c r="I45" i="54"/>
  <c r="J45" i="54"/>
  <c r="F45" i="54"/>
  <c r="G45" i="54"/>
  <c r="K45" i="54"/>
  <c r="D45" i="54"/>
  <c r="H45" i="54"/>
  <c r="L45" i="54"/>
  <c r="B59" i="53"/>
  <c r="B35" i="53"/>
  <c r="B34" i="53"/>
  <c r="B33" i="53"/>
  <c r="B32" i="53"/>
  <c r="B31" i="53"/>
  <c r="B30" i="53"/>
  <c r="B29" i="53"/>
  <c r="B28" i="53"/>
  <c r="B27" i="53"/>
  <c r="E25" i="53"/>
  <c r="F25" i="53"/>
  <c r="G25" i="53"/>
  <c r="H25" i="53"/>
  <c r="I25" i="53"/>
  <c r="J25" i="53"/>
  <c r="K25" i="53"/>
  <c r="L25" i="53"/>
  <c r="D30" i="50"/>
  <c r="D25" i="53"/>
  <c r="G38" i="53" l="1"/>
  <c r="K38" i="53"/>
  <c r="H38" i="53"/>
  <c r="J38" i="53"/>
  <c r="L38" i="53"/>
  <c r="E38" i="53"/>
  <c r="I38" i="53"/>
  <c r="D38" i="53"/>
  <c r="F38" i="53"/>
  <c r="G46" i="53"/>
  <c r="K46" i="53"/>
  <c r="D46" i="53"/>
  <c r="H46" i="53"/>
  <c r="L46" i="53"/>
  <c r="E46" i="53"/>
  <c r="I46" i="53"/>
  <c r="F46" i="53"/>
  <c r="J46" i="53"/>
  <c r="F43" i="53"/>
  <c r="J43" i="53"/>
  <c r="G43" i="53"/>
  <c r="K43" i="53"/>
  <c r="D43" i="53"/>
  <c r="H43" i="53"/>
  <c r="L43" i="53"/>
  <c r="E43" i="53"/>
  <c r="I43" i="53"/>
  <c r="G42" i="53"/>
  <c r="K42" i="53"/>
  <c r="D42" i="53"/>
  <c r="H42" i="53"/>
  <c r="L42" i="53"/>
  <c r="E42" i="53"/>
  <c r="I42" i="53"/>
  <c r="F42" i="53"/>
  <c r="J42" i="53"/>
  <c r="F39" i="53"/>
  <c r="J39" i="53"/>
  <c r="G39" i="53"/>
  <c r="K39" i="53"/>
  <c r="D39" i="53"/>
  <c r="H39" i="53"/>
  <c r="L39" i="53"/>
  <c r="E39" i="53"/>
  <c r="I39" i="53"/>
  <c r="E40" i="53"/>
  <c r="I40" i="53"/>
  <c r="F40" i="53"/>
  <c r="J40" i="53"/>
  <c r="G40" i="53"/>
  <c r="K40" i="53"/>
  <c r="D40" i="53"/>
  <c r="H40" i="53"/>
  <c r="L40" i="53"/>
  <c r="E44" i="53"/>
  <c r="I44" i="53"/>
  <c r="H44" i="53"/>
  <c r="F44" i="53"/>
  <c r="J44" i="53"/>
  <c r="G44" i="53"/>
  <c r="K44" i="53"/>
  <c r="D44" i="53"/>
  <c r="L44" i="53"/>
  <c r="D41" i="53"/>
  <c r="H41" i="53"/>
  <c r="L41" i="53"/>
  <c r="E41" i="53"/>
  <c r="I41" i="53"/>
  <c r="F41" i="53"/>
  <c r="J41" i="53"/>
  <c r="G41" i="53"/>
  <c r="K41" i="53"/>
  <c r="D45" i="53"/>
  <c r="H45" i="53"/>
  <c r="L45" i="53"/>
  <c r="E45" i="53"/>
  <c r="I45" i="53"/>
  <c r="G45" i="53"/>
  <c r="F45" i="53"/>
  <c r="J45" i="53"/>
  <c r="K45" i="53"/>
  <c r="D48" i="54"/>
  <c r="B57" i="54" s="1"/>
  <c r="D52" i="53" l="1"/>
  <c r="B41" i="50" l="1"/>
  <c r="B23" i="50"/>
  <c r="B22" i="50"/>
  <c r="B21" i="50"/>
  <c r="E19" i="50"/>
  <c r="F19" i="50"/>
  <c r="D19" i="50"/>
  <c r="B39" i="50"/>
  <c r="D48" i="53" l="1"/>
  <c r="B57" i="53" s="1"/>
  <c r="D53" i="54"/>
  <c r="D51" i="55"/>
  <c r="D55" i="55" s="1"/>
  <c r="D28" i="50"/>
  <c r="E26" i="50"/>
  <c r="E27" i="50"/>
  <c r="F28" i="50"/>
  <c r="E28" i="50"/>
  <c r="D26" i="50"/>
  <c r="D27" i="50"/>
  <c r="F26" i="50"/>
  <c r="F27" i="50"/>
  <c r="N10" i="49"/>
  <c r="M10" i="49"/>
  <c r="N6" i="49"/>
  <c r="N7" i="49"/>
  <c r="N8" i="49"/>
  <c r="N9" i="49"/>
  <c r="M7" i="49"/>
  <c r="M8" i="49"/>
  <c r="M9" i="49"/>
  <c r="M6" i="49"/>
  <c r="C20" i="49"/>
  <c r="C21" i="49"/>
  <c r="C22" i="49"/>
  <c r="C27" i="48"/>
  <c r="D27" i="48"/>
  <c r="E27" i="48"/>
  <c r="C28" i="48"/>
  <c r="D28" i="48"/>
  <c r="E28" i="48"/>
  <c r="C29" i="48"/>
  <c r="D29" i="48"/>
  <c r="E29" i="48"/>
  <c r="D34" i="50" l="1"/>
  <c r="C37" i="48"/>
  <c r="C38" i="48"/>
  <c r="E38" i="48" l="1"/>
  <c r="E37" i="48"/>
  <c r="E36" i="48"/>
  <c r="K7" i="47" l="1"/>
  <c r="K8" i="47"/>
  <c r="K9" i="47"/>
  <c r="K10" i="47"/>
  <c r="K11" i="47"/>
  <c r="K12" i="47"/>
  <c r="K13" i="47"/>
  <c r="K14" i="47"/>
  <c r="K15" i="47"/>
  <c r="K16" i="47"/>
  <c r="K6" i="47"/>
  <c r="E22" i="47"/>
  <c r="E23" i="47"/>
  <c r="E24" i="47"/>
  <c r="D37" i="47"/>
  <c r="D36" i="47"/>
  <c r="D35" i="47"/>
  <c r="D34" i="47"/>
  <c r="E21" i="47"/>
  <c r="D22" i="47"/>
  <c r="D23" i="47"/>
  <c r="D24" i="47"/>
  <c r="D25" i="47"/>
  <c r="D21" i="47"/>
  <c r="C22" i="47"/>
  <c r="C23" i="47"/>
  <c r="C24" i="47"/>
  <c r="C25" i="47"/>
  <c r="E25" i="47" s="1"/>
  <c r="C21" i="47"/>
  <c r="D29" i="47" l="1"/>
</calcChain>
</file>

<file path=xl/sharedStrings.xml><?xml version="1.0" encoding="utf-8"?>
<sst xmlns="http://schemas.openxmlformats.org/spreadsheetml/2006/main" count="298" uniqueCount="132">
  <si>
    <t>DECISION VARIABLES</t>
  </si>
  <si>
    <t>OBJECTIVE FUNCTION</t>
  </si>
  <si>
    <t>CONSTRAINTS</t>
  </si>
  <si>
    <t>LHS</t>
  </si>
  <si>
    <t>RHS</t>
  </si>
  <si>
    <t>Price</t>
  </si>
  <si>
    <t>A</t>
  </si>
  <si>
    <t>B</t>
  </si>
  <si>
    <t>C</t>
  </si>
  <si>
    <t>≥</t>
  </si>
  <si>
    <t>INPUTS</t>
  </si>
  <si>
    <t>≤</t>
  </si>
  <si>
    <t>INPUT</t>
  </si>
  <si>
    <t>Demand</t>
  </si>
  <si>
    <t>CALCULATED VARIABLES</t>
  </si>
  <si>
    <t>a</t>
  </si>
  <si>
    <t>b</t>
  </si>
  <si>
    <t>Predicted demand</t>
  </si>
  <si>
    <t>Minimise the sum of squared differences</t>
  </si>
  <si>
    <t>FINDING PARAMETERS IN A CONSTANT ELASTICITY DEMAND FUNCTION</t>
  </si>
  <si>
    <t>PRICING MODELS</t>
  </si>
  <si>
    <t>Cost per unit</t>
  </si>
  <si>
    <t>DECISION VARIABLE</t>
  </si>
  <si>
    <t>Parameter values</t>
  </si>
  <si>
    <t>CONSTRAINT</t>
  </si>
  <si>
    <t>(non-zero profit constraint)</t>
  </si>
  <si>
    <t>Maximise profit</t>
  </si>
  <si>
    <t># ads</t>
  </si>
  <si>
    <t># exposures</t>
  </si>
  <si>
    <t>Predicted 
# exposures</t>
  </si>
  <si>
    <t>Lower bound on a</t>
  </si>
  <si>
    <t>Upper bound on a</t>
  </si>
  <si>
    <t>Lower bound on b</t>
  </si>
  <si>
    <t>Upper bound on b</t>
  </si>
  <si>
    <t>Predicted</t>
  </si>
  <si>
    <t>FINDING PARAMETERS VALUES IN A MODIFIED EXPONENTIAL RESPONSE FUNCTION</t>
  </si>
  <si>
    <t>CALCULATED VARIABLE</t>
  </si>
  <si>
    <t>Segments</t>
  </si>
  <si>
    <t>Min exposures</t>
  </si>
  <si>
    <t>Women 18-35</t>
  </si>
  <si>
    <t>Women 36-55</t>
  </si>
  <si>
    <t>Women &gt;55</t>
  </si>
  <si>
    <t>Cost per ad</t>
  </si>
  <si>
    <t>No. ads</t>
  </si>
  <si>
    <t>Total cost ($'000)</t>
  </si>
  <si>
    <t>Constant (a) in response function</t>
  </si>
  <si>
    <t>Coefficient (b) of exponent in response function</t>
  </si>
  <si>
    <t>Exposures to each group from each show</t>
  </si>
  <si>
    <t>FACILITY LOCATION MODELS</t>
  </si>
  <si>
    <t>Customer</t>
  </si>
  <si>
    <t>X-coordinate</t>
  </si>
  <si>
    <t>Y-coordinate</t>
  </si>
  <si>
    <t>Shipments per year</t>
  </si>
  <si>
    <t>Warehouse</t>
  </si>
  <si>
    <t>Distance from warehouse</t>
  </si>
  <si>
    <t>Annual distance</t>
  </si>
  <si>
    <t>x-coordinate</t>
  </si>
  <si>
    <t>y-coordinate</t>
  </si>
  <si>
    <t>Customer 1</t>
  </si>
  <si>
    <t>Customer 2</t>
  </si>
  <si>
    <t>Customer 3</t>
  </si>
  <si>
    <t>Customer 4</t>
  </si>
  <si>
    <t>Stock</t>
  </si>
  <si>
    <t>Mean</t>
  </si>
  <si>
    <t>PORTFOLIO OPTIMISATION MODELS</t>
  </si>
  <si>
    <t>Average portfolio return</t>
  </si>
  <si>
    <t>Cov</t>
  </si>
  <si>
    <t>(Minimum expected return of 12%)</t>
  </si>
  <si>
    <t>=</t>
  </si>
  <si>
    <t>(Portfolio = 100% of total investment)</t>
  </si>
  <si>
    <t>Investment weights</t>
  </si>
  <si>
    <t>stock 1</t>
  </si>
  <si>
    <t>stock 2</t>
  </si>
  <si>
    <t>stock 3</t>
  </si>
  <si>
    <t>Portfolio variance terms</t>
  </si>
  <si>
    <t>Tasks</t>
  </si>
  <si>
    <t>1.</t>
  </si>
  <si>
    <t>2.</t>
  </si>
  <si>
    <t>STOCK VALUES EACH MONTH - RAW DATA</t>
  </si>
  <si>
    <t>MONTHLY RETURNS</t>
  </si>
  <si>
    <t>Date</t>
  </si>
  <si>
    <t>BHP</t>
  </si>
  <si>
    <t>RIO</t>
  </si>
  <si>
    <t>Wesfarmers</t>
  </si>
  <si>
    <t>Woolworth</t>
  </si>
  <si>
    <t>NAB</t>
  </si>
  <si>
    <t>CBA</t>
  </si>
  <si>
    <t>Westpac</t>
  </si>
  <si>
    <t>ANZ</t>
  </si>
  <si>
    <t>Telstra</t>
  </si>
  <si>
    <t>Average Return over 48 months</t>
  </si>
  <si>
    <t xml:space="preserve"> </t>
  </si>
  <si>
    <t>Next we extract the key statistics for the returns - means and covariances</t>
  </si>
  <si>
    <t>We are now ready to use the means and covariances in our analysis!</t>
  </si>
  <si>
    <t>We have collected monthly stock prices of nine stocks over 4 years (actually 49 months)</t>
  </si>
  <si>
    <t>Notice that the monthly prices are listed from latest to earliest month.</t>
  </si>
  <si>
    <t xml:space="preserve">The first thing we do with these prices is to turn them into returns (there are 48 for each stock) </t>
  </si>
  <si>
    <t>Portfolio model worksheet 0. Data</t>
  </si>
  <si>
    <t>Portfolio model worksheet 1. Minimise risk</t>
  </si>
  <si>
    <t>stock 4</t>
  </si>
  <si>
    <t>stock 5</t>
  </si>
  <si>
    <t>stock 6</t>
  </si>
  <si>
    <t>stock 7</t>
  </si>
  <si>
    <t>stock 8</t>
  </si>
  <si>
    <t>stock 9</t>
  </si>
  <si>
    <t>(Minimum expected return of 1%)</t>
  </si>
  <si>
    <t>Standard deviation of portfolio return</t>
  </si>
  <si>
    <t xml:space="preserve">Excel doesn't print out the full square table of covariances, so we need to </t>
  </si>
  <si>
    <t>complete the missing "upper triangle" part</t>
  </si>
  <si>
    <t>1) Select the cells of the table (the square block including the blank cells).</t>
  </si>
  <si>
    <t>2) Copy and Paste Special Transpose into some empty space.</t>
  </si>
  <si>
    <t>This is done in three steps</t>
  </si>
  <si>
    <t>One thing to note is that these covariances are population estimates 
(i.e. they use n rather tha n-1 in the formula, but we won't adjust for this)</t>
  </si>
  <si>
    <t>3) Copy the tranposed data as a square block and do a Paste Special on 
the original block, having ticked "Skip Blanks"</t>
  </si>
  <si>
    <t>(Maximum standard deviation)</t>
  </si>
  <si>
    <t>Sharpe Ratio</t>
  </si>
  <si>
    <t>This was covered in class for the case of 3 stocks. We repeat it here for the nine stocks under consideration</t>
  </si>
  <si>
    <t>3.</t>
  </si>
  <si>
    <t>4.</t>
  </si>
  <si>
    <t>Portfolio model worksheet 2. Maximise return</t>
  </si>
  <si>
    <t>This is where we maximise return for a given level of risk.</t>
  </si>
  <si>
    <t>The aim is to find a set of portfolio weights that minimise risk subject to a minimum expected return of 1%.</t>
  </si>
  <si>
    <t>The aim is to find a set of portfolio weights that maximise the portfolio return subject to having a risk that is no greater than 3%.</t>
  </si>
  <si>
    <t>There are no constraints on the expected return or the level of risk assumed.</t>
  </si>
  <si>
    <t>This is where we maximise the Sharpe Ratio = the ratio of the return above the risk free rate of 1.5% divided by the amount of risk assumed</t>
  </si>
  <si>
    <t>Portfolio model worksheet 3. Maximise the Sharpe Ratio</t>
  </si>
  <si>
    <t>ADVERTISING SELECTION WITH NONLINEAR CONSTRAINTS</t>
  </si>
  <si>
    <t>We average the returns for each stock to estimate the means (see table below the returns)</t>
  </si>
  <si>
    <t>In this seminar we will only focus on the four Portfolio model worksheets numbered 0-3.</t>
  </si>
  <si>
    <t>The other worksheets are included as additional resources to support the Topic 3 lecture notes</t>
  </si>
  <si>
    <t>The covariances can be found by using the Data Analysis tookbox.</t>
  </si>
  <si>
    <t>If the Data Analysis tookbox is not listed under the Data tab, you will have to add it
in as follows: File &gt; Options &gt; Add-ins &gt; Go &gt; Tick Analysis Toolpak and click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</si>
</sst>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"/>
    <numFmt numFmtId="165" formatCode="&quot;$&quot;#,##0.00"/>
    <numFmt numFmtId="166" formatCode="0.0"/>
    <numFmt numFmtId="167" formatCode="0.000"/>
    <numFmt numFmtId="168" formatCode="&quot;$&quot;#,##0.000000"/>
    <numFmt numFmtId="169" formatCode="0.0000"/>
    <numFmt numFmtId="170" formatCode="0.0%"/>
  </numFmts>
  <fonts count="32" x14ac:knownFonts="1">
    <font>
      <sz val="8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color theme="10"/>
      <name val="Tahoma"/>
      <family val="2"/>
    </font>
    <font>
      <u/>
      <sz val="8"/>
      <color theme="1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373636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Tahoma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373636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73636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1"/>
      <color theme="1"/>
      <name val="Tahoma"/>
      <family val="2"/>
    </font>
    <font>
      <b/>
      <sz val="12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373636"/>
      <name val="Calibri"/>
      <family val="2"/>
    </font>
    <font>
      <b/>
      <sz val="10"/>
      <color rgb="FF373636"/>
      <name val="Calibri"/>
      <family val="2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D9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BD7D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30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9" fontId="15" fillId="0" borderId="0" applyFont="0" applyFill="0" applyBorder="0" applyAlignment="0" applyProtection="0"/>
  </cellStyleXfs>
  <cellXfs count="139">
    <xf numFmtId="0" fontId="0" fillId="0" borderId="0" xfId="0"/>
    <xf numFmtId="0" fontId="8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4" borderId="4" xfId="0" applyFont="1" applyFill="1" applyBorder="1" applyAlignment="1">
      <alignment horizontal="center" vertical="center" wrapText="1" readingOrder="1"/>
    </xf>
    <xf numFmtId="0" fontId="12" fillId="4" borderId="5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2" borderId="1" xfId="0" applyFont="1" applyFill="1" applyBorder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0" fontId="5" fillId="0" borderId="0" xfId="0" applyFont="1" applyAlignment="1">
      <alignment horizontal="center"/>
    </xf>
    <xf numFmtId="0" fontId="5" fillId="5" borderId="1" xfId="0" applyFont="1" applyFill="1" applyBorder="1"/>
    <xf numFmtId="166" fontId="5" fillId="0" borderId="1" xfId="0" applyNumberFormat="1" applyFont="1" applyBorder="1"/>
    <xf numFmtId="0" fontId="8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1" fontId="5" fillId="2" borderId="1" xfId="0" applyNumberFormat="1" applyFont="1" applyFill="1" applyBorder="1"/>
    <xf numFmtId="1" fontId="5" fillId="0" borderId="1" xfId="0" applyNumberFormat="1" applyFont="1" applyBorder="1"/>
    <xf numFmtId="167" fontId="5" fillId="2" borderId="1" xfId="0" applyNumberFormat="1" applyFont="1" applyFill="1" applyBorder="1"/>
    <xf numFmtId="0" fontId="8" fillId="0" borderId="0" xfId="0" applyFont="1" applyAlignment="1">
      <alignment horizontal="center" wrapText="1"/>
    </xf>
    <xf numFmtId="0" fontId="8" fillId="5" borderId="1" xfId="0" applyFont="1" applyFill="1" applyBorder="1"/>
    <xf numFmtId="165" fontId="8" fillId="5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10" fillId="2" borderId="1" xfId="0" applyFont="1" applyFill="1" applyBorder="1"/>
    <xf numFmtId="1" fontId="10" fillId="2" borderId="0" xfId="0" applyNumberFormat="1" applyFont="1" applyFill="1"/>
    <xf numFmtId="0" fontId="3" fillId="3" borderId="1" xfId="0" applyFont="1" applyFill="1" applyBorder="1"/>
    <xf numFmtId="167" fontId="10" fillId="2" borderId="1" xfId="0" applyNumberFormat="1" applyFont="1" applyFill="1" applyBorder="1"/>
    <xf numFmtId="0" fontId="10" fillId="0" borderId="0" xfId="0" applyFont="1" applyAlignment="1">
      <alignment horizontal="center"/>
    </xf>
    <xf numFmtId="0" fontId="3" fillId="2" borderId="1" xfId="0" applyFont="1" applyFill="1" applyBorder="1"/>
    <xf numFmtId="167" fontId="3" fillId="2" borderId="1" xfId="0" applyNumberFormat="1" applyFont="1" applyFill="1" applyBorder="1"/>
    <xf numFmtId="164" fontId="3" fillId="3" borderId="1" xfId="0" applyNumberFormat="1" applyFont="1" applyFill="1" applyBorder="1"/>
    <xf numFmtId="0" fontId="10" fillId="2" borderId="0" xfId="0" applyFont="1" applyFill="1" applyAlignment="1">
      <alignment horizontal="center"/>
    </xf>
    <xf numFmtId="0" fontId="12" fillId="4" borderId="7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9" fillId="7" borderId="5" xfId="0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horizontal="center" vertical="center" wrapText="1" readingOrder="1"/>
    </xf>
    <xf numFmtId="167" fontId="8" fillId="5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 wrapText="1" readingOrder="1"/>
    </xf>
    <xf numFmtId="167" fontId="8" fillId="5" borderId="1" xfId="0" applyNumberFormat="1" applyFont="1" applyFill="1" applyBorder="1"/>
    <xf numFmtId="0" fontId="2" fillId="0" borderId="0" xfId="0" applyFont="1"/>
    <xf numFmtId="0" fontId="18" fillId="0" borderId="0" xfId="0" applyFont="1"/>
    <xf numFmtId="0" fontId="17" fillId="4" borderId="1" xfId="0" applyFont="1" applyFill="1" applyBorder="1" applyAlignment="1">
      <alignment horizontal="center" vertical="center" wrapText="1" readingOrder="1"/>
    </xf>
    <xf numFmtId="0" fontId="19" fillId="6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9" fontId="3" fillId="0" borderId="0" xfId="29" applyFont="1"/>
    <xf numFmtId="9" fontId="8" fillId="5" borderId="1" xfId="29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 readingOrder="1"/>
    </xf>
    <xf numFmtId="0" fontId="20" fillId="0" borderId="0" xfId="0" applyFont="1"/>
    <xf numFmtId="9" fontId="21" fillId="2" borderId="1" xfId="29" applyFont="1" applyFill="1" applyBorder="1" applyAlignment="1">
      <alignment horizontal="center"/>
    </xf>
    <xf numFmtId="9" fontId="21" fillId="2" borderId="1" xfId="0" applyNumberFormat="1" applyFont="1" applyFill="1" applyBorder="1"/>
    <xf numFmtId="169" fontId="22" fillId="6" borderId="1" xfId="0" applyNumberFormat="1" applyFont="1" applyFill="1" applyBorder="1" applyAlignment="1">
      <alignment horizontal="right" vertical="center" wrapText="1" indent="1" readingOrder="1"/>
    </xf>
    <xf numFmtId="0" fontId="22" fillId="6" borderId="1" xfId="0" applyFont="1" applyFill="1" applyBorder="1" applyAlignment="1">
      <alignment horizontal="right" vertical="center" wrapText="1" indent="1" readingOrder="1"/>
    </xf>
    <xf numFmtId="169" fontId="22" fillId="7" borderId="1" xfId="0" applyNumberFormat="1" applyFont="1" applyFill="1" applyBorder="1" applyAlignment="1">
      <alignment horizontal="right" vertical="center" wrapText="1" indent="1" readingOrder="1"/>
    </xf>
    <xf numFmtId="0" fontId="22" fillId="7" borderId="1" xfId="0" applyFont="1" applyFill="1" applyBorder="1" applyAlignment="1">
      <alignment horizontal="right" vertical="center" wrapText="1" indent="1" readingOrder="1"/>
    </xf>
    <xf numFmtId="0" fontId="1" fillId="0" borderId="0" xfId="0" applyFont="1"/>
    <xf numFmtId="0" fontId="1" fillId="8" borderId="0" xfId="0" applyFont="1" applyFill="1"/>
    <xf numFmtId="0" fontId="0" fillId="8" borderId="0" xfId="0" applyFill="1"/>
    <xf numFmtId="0" fontId="18" fillId="8" borderId="0" xfId="0" applyFont="1" applyFill="1"/>
    <xf numFmtId="0" fontId="24" fillId="8" borderId="0" xfId="0" applyFont="1" applyFill="1"/>
    <xf numFmtId="0" fontId="25" fillId="8" borderId="0" xfId="0" applyFont="1" applyFill="1"/>
    <xf numFmtId="0" fontId="18" fillId="8" borderId="0" xfId="0" applyFont="1" applyFill="1" applyAlignment="1">
      <alignment horizontal="left"/>
    </xf>
    <xf numFmtId="0" fontId="18" fillId="8" borderId="0" xfId="0" applyFont="1" applyFill="1" applyAlignment="1">
      <alignment vertical="top" wrapText="1"/>
    </xf>
    <xf numFmtId="0" fontId="26" fillId="8" borderId="0" xfId="0" applyFont="1" applyFill="1"/>
    <xf numFmtId="0" fontId="1" fillId="0" borderId="0" xfId="0" quotePrefix="1" applyFont="1"/>
    <xf numFmtId="0" fontId="24" fillId="0" borderId="0" xfId="0" applyFont="1"/>
    <xf numFmtId="14" fontId="20" fillId="0" borderId="1" xfId="0" applyNumberFormat="1" applyFont="1" applyBorder="1"/>
    <xf numFmtId="0" fontId="20" fillId="11" borderId="2" xfId="0" applyFont="1" applyFill="1" applyBorder="1"/>
    <xf numFmtId="0" fontId="20" fillId="11" borderId="14" xfId="0" applyFont="1" applyFill="1" applyBorder="1"/>
    <xf numFmtId="0" fontId="20" fillId="11" borderId="1" xfId="0" applyFont="1" applyFill="1" applyBorder="1"/>
    <xf numFmtId="0" fontId="20" fillId="11" borderId="8" xfId="0" applyFont="1" applyFill="1" applyBorder="1"/>
    <xf numFmtId="170" fontId="20" fillId="0" borderId="0" xfId="29" applyNumberFormat="1" applyFont="1" applyBorder="1"/>
    <xf numFmtId="0" fontId="28" fillId="0" borderId="0" xfId="0" applyFont="1"/>
    <xf numFmtId="0" fontId="23" fillId="0" borderId="8" xfId="0" applyFont="1" applyBorder="1" applyAlignment="1">
      <alignment horizontal="center"/>
    </xf>
    <xf numFmtId="0" fontId="23" fillId="11" borderId="9" xfId="0" applyFont="1" applyFill="1" applyBorder="1" applyAlignment="1">
      <alignment horizontal="right"/>
    </xf>
    <xf numFmtId="0" fontId="23" fillId="11" borderId="10" xfId="0" applyFont="1" applyFill="1" applyBorder="1" applyAlignment="1">
      <alignment horizontal="right"/>
    </xf>
    <xf numFmtId="170" fontId="20" fillId="0" borderId="1" xfId="29" applyNumberFormat="1" applyFont="1" applyBorder="1"/>
    <xf numFmtId="0" fontId="23" fillId="11" borderId="18" xfId="0" applyFont="1" applyFill="1" applyBorder="1" applyAlignment="1">
      <alignment horizontal="right"/>
    </xf>
    <xf numFmtId="170" fontId="20" fillId="0" borderId="2" xfId="29" applyNumberFormat="1" applyFont="1" applyBorder="1"/>
    <xf numFmtId="0" fontId="23" fillId="0" borderId="9" xfId="0" applyFont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23" fillId="0" borderId="11" xfId="0" applyFont="1" applyBorder="1" applyAlignment="1">
      <alignment horizontal="right"/>
    </xf>
    <xf numFmtId="0" fontId="23" fillId="0" borderId="0" xfId="0" applyFont="1" applyAlignment="1">
      <alignment horizontal="right"/>
    </xf>
    <xf numFmtId="14" fontId="20" fillId="0" borderId="0" xfId="0" applyNumberFormat="1" applyFont="1"/>
    <xf numFmtId="170" fontId="23" fillId="0" borderId="9" xfId="0" applyNumberFormat="1" applyFont="1" applyBorder="1"/>
    <xf numFmtId="170" fontId="23" fillId="0" borderId="10" xfId="0" applyNumberFormat="1" applyFont="1" applyBorder="1"/>
    <xf numFmtId="170" fontId="23" fillId="0" borderId="11" xfId="0" applyNumberFormat="1" applyFont="1" applyBorder="1"/>
    <xf numFmtId="0" fontId="13" fillId="8" borderId="0" xfId="0" applyFont="1" applyFill="1"/>
    <xf numFmtId="0" fontId="23" fillId="0" borderId="0" xfId="0" quotePrefix="1" applyFont="1"/>
    <xf numFmtId="0" fontId="23" fillId="8" borderId="0" xfId="0" applyFont="1" applyFill="1"/>
    <xf numFmtId="0" fontId="27" fillId="8" borderId="0" xfId="0" applyFont="1" applyFill="1" applyAlignment="1">
      <alignment horizontal="left"/>
    </xf>
    <xf numFmtId="9" fontId="3" fillId="2" borderId="1" xfId="0" applyNumberFormat="1" applyFont="1" applyFill="1" applyBorder="1" applyAlignment="1">
      <alignment horizontal="center"/>
    </xf>
    <xf numFmtId="169" fontId="22" fillId="6" borderId="1" xfId="0" applyNumberFormat="1" applyFont="1" applyFill="1" applyBorder="1" applyAlignment="1">
      <alignment horizontal="right" vertical="center" indent="1" readingOrder="1"/>
    </xf>
    <xf numFmtId="169" fontId="22" fillId="7" borderId="1" xfId="0" applyNumberFormat="1" applyFont="1" applyFill="1" applyBorder="1" applyAlignment="1">
      <alignment horizontal="right" vertical="center" indent="1" readingOrder="1"/>
    </xf>
    <xf numFmtId="9" fontId="3" fillId="2" borderId="1" xfId="29" applyFont="1" applyFill="1" applyBorder="1" applyAlignment="1">
      <alignment horizontal="center"/>
    </xf>
    <xf numFmtId="10" fontId="8" fillId="5" borderId="1" xfId="29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/>
    </xf>
    <xf numFmtId="0" fontId="18" fillId="8" borderId="0" xfId="0" applyFont="1" applyFill="1" applyAlignment="1">
      <alignment horizontal="left" vertical="top" wrapText="1"/>
    </xf>
    <xf numFmtId="0" fontId="18" fillId="8" borderId="0" xfId="0" applyFont="1" applyFill="1" applyAlignment="1">
      <alignment wrapText="1"/>
    </xf>
    <xf numFmtId="0" fontId="18" fillId="8" borderId="0" xfId="0" applyFont="1" applyFill="1" applyAlignment="1">
      <alignment horizontal="left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9" fontId="8" fillId="5" borderId="1" xfId="29" applyFont="1" applyFill="1" applyBorder="1" applyAlignment="1">
      <alignment horizontal="center"/>
    </xf>
    <xf numFmtId="10" fontId="8" fillId="5" borderId="1" xfId="29" applyNumberFormat="1" applyFont="1" applyFill="1" applyBorder="1" applyAlignment="1">
      <alignment horizontal="center"/>
    </xf>
    <xf numFmtId="10" fontId="3" fillId="2" borderId="1" xfId="29" applyNumberFormat="1" applyFont="1" applyFill="1" applyBorder="1" applyAlignment="1">
      <alignment horizontal="center"/>
    </xf>
    <xf numFmtId="0" fontId="14" fillId="0" borderId="19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center" wrapText="1" readingOrder="1"/>
    </xf>
    <xf numFmtId="164" fontId="8" fillId="2" borderId="1" xfId="0" applyNumberFormat="1" applyFont="1" applyFill="1" applyBorder="1" applyAlignment="1">
      <alignment horizontal="center"/>
    </xf>
    <xf numFmtId="168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9" fontId="19" fillId="6" borderId="1" xfId="0" applyNumberFormat="1" applyFont="1" applyFill="1" applyBorder="1" applyAlignment="1">
      <alignment horizontal="right" vertical="center" wrapText="1" indent="1" readingOrder="1"/>
    </xf>
    <xf numFmtId="169" fontId="19" fillId="7" borderId="1" xfId="0" applyNumberFormat="1" applyFont="1" applyFill="1" applyBorder="1" applyAlignment="1">
      <alignment horizontal="right" vertical="center" wrapText="1" indent="1" readingOrder="1"/>
    </xf>
    <xf numFmtId="169" fontId="30" fillId="6" borderId="1" xfId="0" applyNumberFormat="1" applyFont="1" applyFill="1" applyBorder="1" applyAlignment="1">
      <alignment horizontal="center" vertical="center" wrapText="1" readingOrder="1"/>
    </xf>
    <xf numFmtId="9" fontId="8" fillId="5" borderId="1" xfId="0" applyNumberFormat="1" applyFont="1" applyFill="1" applyBorder="1" applyAlignment="1">
      <alignment horizontal="center"/>
    </xf>
    <xf numFmtId="170" fontId="23" fillId="0" borderId="0" xfId="0" applyNumberFormat="1" applyFont="1"/>
    <xf numFmtId="0" fontId="13" fillId="0" borderId="0" xfId="0" applyFont="1"/>
    <xf numFmtId="167" fontId="29" fillId="2" borderId="1" xfId="0" applyNumberFormat="1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67" fontId="8" fillId="0" borderId="1" xfId="0" applyNumberFormat="1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23" fillId="9" borderId="15" xfId="0" applyFont="1" applyFill="1" applyBorder="1" applyAlignment="1">
      <alignment horizontal="center"/>
    </xf>
    <xf numFmtId="0" fontId="23" fillId="9" borderId="16" xfId="0" applyFont="1" applyFill="1" applyBorder="1" applyAlignment="1">
      <alignment horizontal="center"/>
    </xf>
    <xf numFmtId="0" fontId="23" fillId="9" borderId="17" xfId="0" applyFont="1" applyFill="1" applyBorder="1" applyAlignment="1">
      <alignment horizontal="center"/>
    </xf>
    <xf numFmtId="0" fontId="8" fillId="0" borderId="0" xfId="0" applyFont="1" applyAlignment="1">
      <alignment horizontal="right" wrapText="1"/>
    </xf>
    <xf numFmtId="0" fontId="31" fillId="0" borderId="0" xfId="0" applyFont="1" applyAlignment="1">
      <alignment horizontal="left"/>
    </xf>
    <xf numFmtId="0" fontId="5" fillId="0" borderId="0" xfId="0" applyFont="1" applyAlignment="1">
      <alignment horizontal="right" wrapText="1"/>
    </xf>
    <xf numFmtId="0" fontId="5" fillId="0" borderId="3" xfId="0" applyFont="1" applyBorder="1" applyAlignment="1">
      <alignment horizontal="right" wrapText="1"/>
    </xf>
    <xf numFmtId="0" fontId="8" fillId="0" borderId="0" xfId="0" applyFont="1" applyAlignment="1">
      <alignment horizontal="left" wrapText="1"/>
    </xf>
    <xf numFmtId="0" fontId="8" fillId="5" borderId="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</cellXfs>
  <cellStyles count="3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Normal" xfId="0" builtinId="0"/>
    <cellStyle name="Percent" xfId="29" builtinId="5"/>
  </cellStyles>
  <dxfs count="0"/>
  <tableStyles count="0" defaultTableStyle="TableStyleMedium2" defaultPivotStyle="PivotStyleLight16"/>
  <colors>
    <mruColors>
      <color rgb="FF0033CC"/>
      <color rgb="FFD9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Demand versus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91426071741035"/>
          <c:y val="0.17171296296296298"/>
          <c:w val="0.83508573928258956"/>
          <c:h val="0.6282950568678915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'Constant elasticity '!$J$8:$J$18</c:f>
              <c:numCache>
                <c:formatCode>"$"#,##0</c:formatCode>
                <c:ptCount val="11"/>
                <c:pt idx="0">
                  <c:v>70</c:v>
                </c:pt>
                <c:pt idx="1">
                  <c:v>72</c:v>
                </c:pt>
                <c:pt idx="2">
                  <c:v>74</c:v>
                </c:pt>
                <c:pt idx="3">
                  <c:v>76</c:v>
                </c:pt>
                <c:pt idx="4">
                  <c:v>78</c:v>
                </c:pt>
                <c:pt idx="5">
                  <c:v>80</c:v>
                </c:pt>
                <c:pt idx="6">
                  <c:v>82</c:v>
                </c:pt>
                <c:pt idx="7">
                  <c:v>84</c:v>
                </c:pt>
                <c:pt idx="8">
                  <c:v>86</c:v>
                </c:pt>
                <c:pt idx="9">
                  <c:v>88</c:v>
                </c:pt>
                <c:pt idx="10">
                  <c:v>90</c:v>
                </c:pt>
              </c:numCache>
            </c:numRef>
          </c:xVal>
          <c:yVal>
            <c:numRef>
              <c:f>'Constant elasticity '!$K$8:$K$18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72-4307-B73A-5D812F33A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28632"/>
        <c:axId val="558533880"/>
      </c:scatterChart>
      <c:valAx>
        <c:axId val="558528632"/>
        <c:scaling>
          <c:orientation val="minMax"/>
          <c:max val="90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33880"/>
        <c:crosses val="autoZero"/>
        <c:crossBetween val="midCat"/>
        <c:majorUnit val="2"/>
      </c:valAx>
      <c:valAx>
        <c:axId val="558533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2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Predicted no. of exposures versus no. of 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91426071741035"/>
          <c:y val="0.17171296296296298"/>
          <c:w val="0.83508573928258956"/>
          <c:h val="0.6282950568678915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'Modified Exp'!$J$6:$J$16</c:f>
              <c:numCache>
                <c:formatCode>0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'Modified Exp'!$K$6:$K$16</c:f>
              <c:numCache>
                <c:formatCode>0.0</c:formatCode>
                <c:ptCount val="11"/>
                <c:pt idx="0">
                  <c:v>0</c:v>
                </c:pt>
                <c:pt idx="1">
                  <c:v>47.174343429836576</c:v>
                </c:pt>
                <c:pt idx="2">
                  <c:v>79.992762909744826</c:v>
                </c:pt>
                <c:pt idx="3">
                  <c:v>102.82400079991578</c:v>
                </c:pt>
                <c:pt idx="4">
                  <c:v>118.70731973660929</c:v>
                </c:pt>
                <c:pt idx="5">
                  <c:v>129.75708504755352</c:v>
                </c:pt>
                <c:pt idx="6">
                  <c:v>137.4442261238986</c:v>
                </c:pt>
                <c:pt idx="7">
                  <c:v>142.79204449512719</c:v>
                </c:pt>
                <c:pt idx="8">
                  <c:v>146.51243430554126</c:v>
                </c:pt>
                <c:pt idx="9">
                  <c:v>149.10064867271194</c:v>
                </c:pt>
                <c:pt idx="10">
                  <c:v>150.9012270937358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E6-492E-983D-EEB472E4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28632"/>
        <c:axId val="558533880"/>
      </c:scatterChart>
      <c:valAx>
        <c:axId val="558528632"/>
        <c:scaling>
          <c:orientation val="minMax"/>
          <c:max val="2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33880"/>
        <c:crosses val="autoZero"/>
        <c:crossBetween val="midCat"/>
        <c:majorUnit val="50"/>
      </c:valAx>
      <c:valAx>
        <c:axId val="558533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# exposures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2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Location of customers</a:t>
            </a:r>
            <a:r>
              <a:rPr lang="en-AU" b="1" baseline="0"/>
              <a:t> relative to warehouse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C31-4734-9605-2E4EC8DC715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6E8AB33-94AD-4738-A2D5-17B7EF33F30D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C31-4734-9605-2E4EC8DC71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095927-9362-451C-9E6D-BA0896A480F3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C31-4734-9605-2E4EC8DC71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ADFA13B-BCE5-4BFF-878A-CBBF6C96A5E9}" type="CELLRANGE">
                      <a:rPr lang="en-AU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C31-4734-9605-2E4EC8DC715C}"/>
                </c:ext>
              </c:extLst>
            </c:dLbl>
            <c:dLbl>
              <c:idx val="3"/>
              <c:layout>
                <c:manualLayout>
                  <c:x val="-1.1111111111111112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C5C619E4-3558-4B29-A71D-6737251B08C7}" type="CELLRANGE">
                      <a:rPr lang="en-US"/>
                      <a:pPr/>
                      <a:t>[CELLRANGE]</a:t>
                    </a:fld>
                    <a:endParaRPr lang="en-A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C31-4734-9605-2E4EC8DC715C}"/>
                </c:ext>
              </c:extLst>
            </c:dLbl>
            <c:dLbl>
              <c:idx val="4"/>
              <c:layout>
                <c:manualLayout>
                  <c:x val="-0.2013888888888889"/>
                  <c:y val="2.3148148148148147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ADDC7D4-ECEA-4524-A246-245B2EB1D235}" type="CELLRANGE">
                      <a:rPr lang="en-US"/>
                      <a:pPr algn="r">
                        <a:defRPr b="1"/>
                      </a:pPr>
                      <a:t>[CELLRANGE]</a:t>
                    </a:fld>
                    <a:endParaRPr lang="en-A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AU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3888888888889"/>
                      <c:h val="5.08566637503645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C31-4734-9605-2E4EC8DC71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'Location model'!$M$6:$M$10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0</c:v>
                </c:pt>
                <c:pt idx="3">
                  <c:v>12</c:v>
                </c:pt>
                <c:pt idx="4" formatCode="0.000">
                  <c:v>9.3141693154228697</c:v>
                </c:pt>
              </c:numCache>
            </c:numRef>
          </c:xVal>
          <c:yVal>
            <c:numRef>
              <c:f>'Location model'!$N$6:$N$10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0</c:v>
                </c:pt>
                <c:pt idx="4" formatCode="0.000">
                  <c:v>5.02870123002557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'Location model'!$L$6:$L$10</c15:f>
                <c15:dlblRangeCache>
                  <c:ptCount val="5"/>
                  <c:pt idx="0">
                    <c:v>Customer 1</c:v>
                  </c:pt>
                  <c:pt idx="1">
                    <c:v>Customer 2</c:v>
                  </c:pt>
                  <c:pt idx="2">
                    <c:v>Customer 3</c:v>
                  </c:pt>
                  <c:pt idx="3">
                    <c:v>Customer 4</c:v>
                  </c:pt>
                  <c:pt idx="4">
                    <c:v>Warehouse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C31-4734-9605-2E4EC8DC7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43120"/>
        <c:axId val="528344432"/>
      </c:scatterChart>
      <c:valAx>
        <c:axId val="52834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44432"/>
        <c:crosses val="autoZero"/>
        <c:crossBetween val="midCat"/>
      </c:valAx>
      <c:valAx>
        <c:axId val="5283444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34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chart" Target="../charts/chart1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3.xml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5286375</xdr:colOff>
      <xdr:row>14</xdr:row>
      <xdr:rowOff>142874</xdr:rowOff>
    </xdr:from>
    <xdr:to>
      <xdr:col>6</xdr:col>
      <xdr:colOff>209550</xdr:colOff>
      <xdr:row>23</xdr:row>
      <xdr:rowOff>104642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089" t="54562" r="12419" b="22747"/>
        <a:stretch/>
      </xdr:blipFill>
      <xdr:spPr>
        <a:xfrm>
          <a:off x="5600700" y="3047999"/>
          <a:ext cx="3581400" cy="2162043"/>
        </a:xfrm>
        <a:prstGeom prst="rect">
          <a:avLst/>
        </a:prstGeom>
      </xdr:spPr>
    </xdr:pic>
    <xdr:clientData/>
  </xdr:twoCellAnchor>
  <xdr:oneCellAnchor>
    <xdr:from>
      <xdr:col>14</xdr:col>
      <xdr:colOff>304800</xdr:colOff>
      <xdr:row>11</xdr:row>
      <xdr:rowOff>129540</xdr:rowOff>
    </xdr:from>
    <xdr:ext cx="7200900" cy="13445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CF417D-3C55-DAD8-5E65-63254FE6B15E}"/>
            </a:ext>
          </a:extLst>
        </xdr:cNvPr>
        <xdr:cNvSpPr txBox="1"/>
      </xdr:nvSpPr>
      <xdr:spPr>
        <a:xfrm>
          <a:off x="12641580" y="2415540"/>
          <a:ext cx="7200900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>
              <a:solidFill>
                <a:srgbClr val="0033CC"/>
              </a:solidFill>
            </a:rPr>
            <a:t>Portfolio model worksheet </a:t>
          </a:r>
        </a:p>
        <a:p>
          <a:r>
            <a:rPr lang="en-AU" sz="1600" b="1">
              <a:solidFill>
                <a:srgbClr val="0033CC"/>
              </a:solidFill>
            </a:rPr>
            <a:t>3. Maximise the Sharpe Ratio</a:t>
          </a:r>
        </a:p>
        <a:p>
          <a:r>
            <a:rPr lang="en-AU" sz="1600" b="0">
              <a:solidFill>
                <a:sysClr val="windowText" lastClr="000000"/>
              </a:solidFill>
            </a:rPr>
            <a:t>his is where we maximise the Sharpe Ratio = the ratio of the return above the risk free rate of 1.5% divided by the amount of risk assumed</a:t>
          </a:r>
        </a:p>
        <a:p>
          <a:r>
            <a:rPr lang="en-AU" sz="1600" b="0">
              <a:solidFill>
                <a:schemeClr val="tx1"/>
              </a:solidFill>
            </a:rPr>
            <a:t>There are no constraints on the expected return or the level of risk assumed.</a:t>
          </a:r>
          <a:endParaRPr lang="en-AU" sz="1600" b="1">
            <a:solidFill>
              <a:srgbClr val="0033CC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2</xdr:row>
      <xdr:rowOff>0</xdr:rowOff>
    </xdr:from>
    <xdr:ext cx="5463540" cy="103162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31E10A-279D-4046-9B3B-AFEA85A5A413}"/>
            </a:ext>
          </a:extLst>
        </xdr:cNvPr>
        <xdr:cNvSpPr txBox="1"/>
      </xdr:nvSpPr>
      <xdr:spPr>
        <a:xfrm>
          <a:off x="11239500" y="358140"/>
          <a:ext cx="5463540" cy="1031629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 b="1">
              <a:solidFill>
                <a:schemeClr val="tx1"/>
              </a:solidFill>
            </a:rPr>
            <a:t>Monthly Rate of Return: </a:t>
          </a:r>
        </a:p>
        <a:p>
          <a:r>
            <a:rPr lang="en-AU" sz="2000">
              <a:solidFill>
                <a:schemeClr val="tx1"/>
              </a:solidFill>
            </a:rPr>
            <a:t>= (current</a:t>
          </a:r>
          <a:r>
            <a:rPr lang="en-AU" sz="2000" baseline="0">
              <a:solidFill>
                <a:schemeClr val="tx1"/>
              </a:solidFill>
            </a:rPr>
            <a:t> value</a:t>
          </a:r>
          <a:r>
            <a:rPr lang="en-AU" sz="2000">
              <a:solidFill>
                <a:schemeClr val="tx1"/>
              </a:solidFill>
            </a:rPr>
            <a:t>- previous</a:t>
          </a:r>
          <a:r>
            <a:rPr lang="en-AU" sz="2000" baseline="0">
              <a:solidFill>
                <a:schemeClr val="tx1"/>
              </a:solidFill>
            </a:rPr>
            <a:t> value</a:t>
          </a:r>
          <a:r>
            <a:rPr lang="en-AU" sz="2000">
              <a:solidFill>
                <a:schemeClr val="tx1"/>
              </a:solidFill>
            </a:rPr>
            <a:t>)/ previous value</a:t>
          </a:r>
        </a:p>
        <a:p>
          <a:r>
            <a:rPr lang="en-AU" sz="2000">
              <a:solidFill>
                <a:schemeClr val="tx1"/>
              </a:solidFill>
            </a:rPr>
            <a:t>=(B5-B6)/B6</a:t>
          </a:r>
          <a:endParaRPr lang="en-AU" sz="2000">
            <a:solidFill>
              <a:srgbClr val="7030A0"/>
            </a:solidFill>
          </a:endParaRPr>
        </a:p>
      </xdr:txBody>
    </xdr:sp>
    <xdr:clientData/>
  </xdr:oneCellAnchor>
  <xdr:oneCellAnchor>
    <xdr:from>
      <xdr:col>29</xdr:col>
      <xdr:colOff>281940</xdr:colOff>
      <xdr:row>2</xdr:row>
      <xdr:rowOff>7620</xdr:rowOff>
    </xdr:from>
    <xdr:ext cx="6248400" cy="3536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DC46EE-5DA6-4125-B3A9-C55D54477E04}"/>
            </a:ext>
          </a:extLst>
        </xdr:cNvPr>
        <xdr:cNvSpPr txBox="1"/>
      </xdr:nvSpPr>
      <xdr:spPr>
        <a:xfrm>
          <a:off x="17236440" y="365760"/>
          <a:ext cx="6248400" cy="3536609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 u="sng">
              <a:solidFill>
                <a:srgbClr val="000099"/>
              </a:solidFill>
              <a:effectLst/>
              <a:latin typeface="+mn-lt"/>
              <a:ea typeface="+mn-ea"/>
              <a:cs typeface="+mn-cs"/>
            </a:rPr>
            <a:t>Steps to follow to fill matrix of Covariance values</a:t>
          </a:r>
          <a:endParaRPr lang="en-AU" sz="1600" u="sng">
            <a:solidFill>
              <a:srgbClr val="000099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200" b="1"/>
            <a:t>1. Compute the Covariance Matrix</a:t>
          </a:r>
          <a:endParaRPr lang="en-AU" sz="1200"/>
        </a:p>
        <a:p>
          <a:pPr lvl="1"/>
          <a:r>
            <a:rPr lang="en-AU" sz="1200"/>
            <a:t>Use the </a:t>
          </a:r>
          <a:r>
            <a:rPr lang="en-AU" sz="1200" b="1"/>
            <a:t>"Data Analysis"</a:t>
          </a:r>
          <a:r>
            <a:rPr lang="en-AU" sz="1200"/>
            <a:t> tool in Excel to generate the covariance matrix.</a:t>
          </a:r>
        </a:p>
        <a:p>
          <a:r>
            <a:rPr lang="en-AU" sz="1200" b="1"/>
            <a:t>2. Copy the Numerical Values</a:t>
          </a:r>
          <a:endParaRPr lang="en-AU" sz="1200"/>
        </a:p>
        <a:p>
          <a:pPr lvl="1"/>
          <a:r>
            <a:rPr lang="en-AU" sz="1200"/>
            <a:t>Select only the numerical values in the entire covariance matrix and copy only those</a:t>
          </a:r>
          <a:r>
            <a:rPr lang="en-AU" sz="1200" baseline="0"/>
            <a:t> numerical</a:t>
          </a:r>
          <a:r>
            <a:rPr lang="en-AU" sz="1200"/>
            <a:t> values.</a:t>
          </a:r>
        </a:p>
        <a:p>
          <a:r>
            <a:rPr lang="en-AU" sz="1200" b="1"/>
            <a:t>3. Transpose the Matrix</a:t>
          </a:r>
          <a:endParaRPr lang="en-AU" sz="1200"/>
        </a:p>
        <a:p>
          <a:pPr lvl="1"/>
          <a:r>
            <a:rPr lang="en-AU" sz="1200"/>
            <a:t>Below the matrix, select an empty cell.</a:t>
          </a:r>
        </a:p>
        <a:p>
          <a:pPr lvl="1"/>
          <a:r>
            <a:rPr lang="en-AU" sz="1200"/>
            <a:t>Use </a:t>
          </a:r>
          <a:r>
            <a:rPr lang="en-AU" sz="1200" b="1"/>
            <a:t>Paste Special &gt; "Transpose"</a:t>
          </a:r>
          <a:r>
            <a:rPr lang="en-AU" sz="1200"/>
            <a:t> to paste the copied values in a transposed format.</a:t>
          </a:r>
        </a:p>
        <a:p>
          <a:r>
            <a:rPr lang="en-AU" sz="1200" b="1"/>
            <a:t>4. Copy the Transposed Data</a:t>
          </a:r>
          <a:endParaRPr lang="en-AU" sz="1200"/>
        </a:p>
        <a:p>
          <a:pPr lvl="1"/>
          <a:r>
            <a:rPr lang="en-AU" sz="1200"/>
            <a:t>Select and copy the newly pasted transposed data in step 3.</a:t>
          </a:r>
        </a:p>
        <a:p>
          <a:r>
            <a:rPr lang="en-AU" sz="1200" b="1"/>
            <a:t>5. Merge with the Original Matrix</a:t>
          </a:r>
          <a:endParaRPr lang="en-AU" sz="1200"/>
        </a:p>
        <a:p>
          <a:pPr lvl="1"/>
          <a:r>
            <a:rPr lang="en-AU" sz="1200"/>
            <a:t>Go back to the original covariance matrix dreated in step 1.</a:t>
          </a:r>
        </a:p>
        <a:p>
          <a:pPr lvl="1"/>
          <a:r>
            <a:rPr lang="en-AU" sz="1200"/>
            <a:t>Select the first numerical cell in the matrix.</a:t>
          </a:r>
        </a:p>
        <a:p>
          <a:pPr lvl="1"/>
          <a:r>
            <a:rPr lang="en-AU" sz="1200"/>
            <a:t>Use </a:t>
          </a:r>
          <a:r>
            <a:rPr lang="en-AU" sz="1200" b="1"/>
            <a:t>Paste Special &gt; "Skip Blanks"</a:t>
          </a:r>
          <a:r>
            <a:rPr lang="en-AU" sz="1200"/>
            <a:t> to paste the transposed values without overwriting existing data.</a:t>
          </a:r>
        </a:p>
        <a:p>
          <a:r>
            <a:rPr lang="en-AU" sz="1200"/>
            <a:t>If any step is unclear, please watch the </a:t>
          </a:r>
          <a:r>
            <a:rPr lang="en-AU" sz="1200" b="1"/>
            <a:t>Week 4 online seminar</a:t>
          </a:r>
          <a:r>
            <a:rPr lang="en-AU" sz="1200"/>
            <a:t>, where a demonstration of these steps is provided.</a:t>
          </a:r>
          <a:endParaRPr lang="en-A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426720</xdr:colOff>
      <xdr:row>0</xdr:row>
      <xdr:rowOff>121920</xdr:rowOff>
    </xdr:from>
    <xdr:ext cx="7200900" cy="13445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D888CF-9464-4ACA-B90E-9A08FF01154A}"/>
            </a:ext>
          </a:extLst>
        </xdr:cNvPr>
        <xdr:cNvSpPr txBox="1"/>
      </xdr:nvSpPr>
      <xdr:spPr>
        <a:xfrm>
          <a:off x="9601200" y="121920"/>
          <a:ext cx="7200900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>
              <a:solidFill>
                <a:srgbClr val="0033CC"/>
              </a:solidFill>
            </a:rPr>
            <a:t>Portfolio model worksheet </a:t>
          </a:r>
        </a:p>
        <a:p>
          <a:r>
            <a:rPr lang="en-AU" sz="1600" b="1">
              <a:solidFill>
                <a:srgbClr val="0033CC"/>
              </a:solidFill>
            </a:rPr>
            <a:t>1. Minimise risk</a:t>
          </a:r>
        </a:p>
        <a:p>
          <a:r>
            <a:rPr lang="en-AU" sz="1600" b="0">
              <a:solidFill>
                <a:sysClr val="windowText" lastClr="000000"/>
              </a:solidFill>
            </a:rPr>
            <a:t>This was covered in class for the case of 3 stocks. We repeat it here for the nine stocks under consideration.The aim is to find a set of portfolio weights that minimise risk subject to a </a:t>
          </a:r>
          <a:r>
            <a:rPr lang="en-AU" sz="1600" b="1">
              <a:solidFill>
                <a:srgbClr val="0033CC"/>
              </a:solidFill>
            </a:rPr>
            <a:t>minimum expected return of 1%.</a:t>
          </a:r>
        </a:p>
      </xdr:txBody>
    </xdr:sp>
    <xdr:clientData/>
  </xdr:oneCellAnchor>
  <xdr:twoCellAnchor editAs="oneCell">
    <xdr:from>
      <xdr:col>15</xdr:col>
      <xdr:colOff>7619</xdr:colOff>
      <xdr:row>10</xdr:row>
      <xdr:rowOff>106680</xdr:rowOff>
    </xdr:from>
    <xdr:to>
      <xdr:col>33</xdr:col>
      <xdr:colOff>457088</xdr:colOff>
      <xdr:row>25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C0C864-9B50-E0CB-636F-AA8E8B03B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4779" y="2110740"/>
          <a:ext cx="8953389" cy="2964180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26</xdr:row>
      <xdr:rowOff>0</xdr:rowOff>
    </xdr:from>
    <xdr:ext cx="2766060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E835C0-2281-40A6-9BC0-F1849C7D05F4}"/>
            </a:ext>
          </a:extLst>
        </xdr:cNvPr>
        <xdr:cNvSpPr txBox="1"/>
      </xdr:nvSpPr>
      <xdr:spPr>
        <a:xfrm>
          <a:off x="7757160" y="5166360"/>
          <a:ext cx="2766060" cy="405432"/>
        </a:xfrm>
        <a:prstGeom prst="rect">
          <a:avLst/>
        </a:prstGeom>
        <a:solidFill>
          <a:srgbClr val="FFFFC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>
              <a:solidFill>
                <a:schemeClr val="tx1"/>
              </a:solidFill>
            </a:rPr>
            <a:t>=</a:t>
          </a:r>
          <a:r>
            <a:rPr lang="en-AU" sz="2000" b="1">
              <a:solidFill>
                <a:srgbClr val="000099"/>
              </a:solidFill>
            </a:rPr>
            <a:t>$</a:t>
          </a:r>
          <a:r>
            <a:rPr lang="en-AU" sz="2000">
              <a:solidFill>
                <a:schemeClr val="tx1"/>
              </a:solidFill>
            </a:rPr>
            <a:t>B27*D</a:t>
          </a:r>
          <a:r>
            <a:rPr lang="en-AU" sz="2000" b="1">
              <a:solidFill>
                <a:srgbClr val="000099"/>
              </a:solidFill>
            </a:rPr>
            <a:t>$</a:t>
          </a:r>
          <a:r>
            <a:rPr lang="en-AU" sz="2000">
              <a:solidFill>
                <a:schemeClr val="tx1"/>
              </a:solidFill>
            </a:rPr>
            <a:t>25*</a:t>
          </a:r>
          <a:r>
            <a:rPr lang="en-AU" sz="2000">
              <a:solidFill>
                <a:srgbClr val="7030A0"/>
              </a:solidFill>
            </a:rPr>
            <a:t>D27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76200</xdr:colOff>
      <xdr:row>1</xdr:row>
      <xdr:rowOff>121920</xdr:rowOff>
    </xdr:from>
    <xdr:ext cx="7200900" cy="134459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9BFC02-EEFD-46DC-B461-317CCDFA93A7}"/>
            </a:ext>
          </a:extLst>
        </xdr:cNvPr>
        <xdr:cNvSpPr txBox="1"/>
      </xdr:nvSpPr>
      <xdr:spPr>
        <a:xfrm>
          <a:off x="7833360" y="419100"/>
          <a:ext cx="7200900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>
              <a:solidFill>
                <a:srgbClr val="0033CC"/>
              </a:solidFill>
            </a:rPr>
            <a:t>Portfolio model worksheet </a:t>
          </a:r>
        </a:p>
        <a:p>
          <a:r>
            <a:rPr lang="en-AU" sz="1600" b="1">
              <a:solidFill>
                <a:srgbClr val="0033CC"/>
              </a:solidFill>
            </a:rPr>
            <a:t>2. Maximise return</a:t>
          </a:r>
        </a:p>
        <a:p>
          <a:r>
            <a:rPr lang="en-AU" sz="1600" b="0">
              <a:solidFill>
                <a:sysClr val="windowText" lastClr="000000"/>
              </a:solidFill>
            </a:rPr>
            <a:t>This is where we maximise return for a given level of risk.</a:t>
          </a:r>
        </a:p>
        <a:p>
          <a:r>
            <a:rPr lang="en-AU" sz="1600" b="0">
              <a:solidFill>
                <a:schemeClr val="tx1"/>
              </a:solidFill>
            </a:rPr>
            <a:t>The aim is to find a set of portfolio weights that maximise the portfolio return subject to having a risk that is no greater than </a:t>
          </a:r>
          <a:r>
            <a:rPr lang="en-AU" sz="1600" b="1">
              <a:solidFill>
                <a:srgbClr val="0033CC"/>
              </a:solidFill>
            </a:rPr>
            <a:t>3%.</a:t>
          </a:r>
        </a:p>
      </xdr:txBody>
    </xdr:sp>
    <xdr:clientData/>
  </xdr:oneCellAnchor>
  <xdr:twoCellAnchor editAs="oneCell">
    <xdr:from>
      <xdr:col>15</xdr:col>
      <xdr:colOff>160020</xdr:colOff>
      <xdr:row>11</xdr:row>
      <xdr:rowOff>60960</xdr:rowOff>
    </xdr:from>
    <xdr:to>
      <xdr:col>33</xdr:col>
      <xdr:colOff>389377</xdr:colOff>
      <xdr:row>31</xdr:row>
      <xdr:rowOff>129880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20C7E0-F7C6-06E3-5B7B-FE4AC2D99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7180" y="2202180"/>
          <a:ext cx="8733277" cy="3924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350520</xdr:colOff>
      <xdr:row>13</xdr:row>
      <xdr:rowOff>68580</xdr:rowOff>
    </xdr:from>
    <xdr:to>
      <xdr:col>39</xdr:col>
      <xdr:colOff>366871</xdr:colOff>
      <xdr:row>21</xdr:row>
      <xdr:rowOff>147880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D6D974-4392-F0B9-6DD0-CA86677CA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4180" y="2606040"/>
          <a:ext cx="11827351" cy="1770940"/>
        </a:xfrm>
        <a:prstGeom prst="rect">
          <a:avLst/>
        </a:prstGeom>
      </xdr:spPr>
    </xdr:pic>
    <xdr:clientData/>
  </xdr:twoCellAnchor>
  <xdr:oneCellAnchor>
    <xdr:from>
      <xdr:col>16</xdr:col>
      <xdr:colOff>419100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51B3CC-D2E6-22AF-7B11-24405BDA314E}"/>
            </a:ext>
          </a:extLst>
        </xdr:cNvPr>
        <xdr:cNvSpPr txBox="1"/>
      </xdr:nvSpPr>
      <xdr:spPr>
        <a:xfrm>
          <a:off x="11597640" y="480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14</xdr:col>
      <xdr:colOff>441960</xdr:colOff>
      <xdr:row>4</xdr:row>
      <xdr:rowOff>167640</xdr:rowOff>
    </xdr:from>
    <xdr:ext cx="7200900" cy="13445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B33F8A-60A4-47CD-8D88-DDD22F066FBE}"/>
            </a:ext>
          </a:extLst>
        </xdr:cNvPr>
        <xdr:cNvSpPr txBox="1"/>
      </xdr:nvSpPr>
      <xdr:spPr>
        <a:xfrm>
          <a:off x="10675620" y="1013460"/>
          <a:ext cx="7200900" cy="134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1600" b="1">
              <a:solidFill>
                <a:srgbClr val="0033CC"/>
              </a:solidFill>
            </a:rPr>
            <a:t>Portfolio model worksheet </a:t>
          </a:r>
        </a:p>
        <a:p>
          <a:r>
            <a:rPr lang="en-AU" sz="1600" b="1">
              <a:solidFill>
                <a:srgbClr val="0033CC"/>
              </a:solidFill>
            </a:rPr>
            <a:t>3. Maximise the Sharpe Ratio</a:t>
          </a:r>
        </a:p>
        <a:p>
          <a:r>
            <a:rPr lang="en-AU" sz="1600" b="0">
              <a:solidFill>
                <a:sysClr val="windowText" lastClr="000000"/>
              </a:solidFill>
            </a:rPr>
            <a:t>his is where we maximise the Sharpe Ratio = the ratio of the return above the risk free rate of 1.5% divided by the amount of risk assumed</a:t>
          </a:r>
        </a:p>
        <a:p>
          <a:r>
            <a:rPr lang="en-AU" sz="1600" b="0">
              <a:solidFill>
                <a:schemeClr val="tx1"/>
              </a:solidFill>
            </a:rPr>
            <a:t>There are no constraints on the expected return or the level of risk assumed.</a:t>
          </a:r>
          <a:endParaRPr lang="en-AU" sz="1600" b="1">
            <a:solidFill>
              <a:srgbClr val="0033CC"/>
            </a:solidFill>
          </a:endParaRPr>
        </a:p>
      </xdr:txBody>
    </xdr:sp>
    <xdr:clientData/>
  </xdr:oneCellAnchor>
  <xdr:oneCellAnchor>
    <xdr:from>
      <xdr:col>14</xdr:col>
      <xdr:colOff>396240</xdr:colOff>
      <xdr:row>23</xdr:row>
      <xdr:rowOff>30480</xdr:rowOff>
    </xdr:from>
    <xdr:ext cx="9418320" cy="223721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20EEC9-BBA2-468D-B4FE-27945B8DBB11}"/>
            </a:ext>
          </a:extLst>
        </xdr:cNvPr>
        <xdr:cNvSpPr txBox="1"/>
      </xdr:nvSpPr>
      <xdr:spPr>
        <a:xfrm>
          <a:off x="10629900" y="4625340"/>
          <a:ext cx="9418320" cy="2237216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Should prefer investments that have a </a:t>
          </a:r>
          <a:r>
            <a:rPr 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Sharpe Ratio well above 1, </a:t>
          </a:r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provide a reasonable excess return over risk free investments  while justifying the level of risk taken.</a:t>
          </a:r>
        </a:p>
        <a:p>
          <a:pPr rtl="0" eaLnBrk="1" latinLnBrk="0" hangingPunct="1"/>
          <a:endParaRPr lang="en-AU" sz="1800">
            <a:effectLst/>
          </a:endParaRPr>
        </a:p>
        <a:p>
          <a:pPr rtl="0" eaLnBrk="0" fontAlgn="base" latinLnBrk="0" hangingPunct="0"/>
          <a:r>
            <a:rPr 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Sharpe Ratio &lt; 1 </a:t>
          </a:r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suggests lower efficiency in risk-adjusted returns.</a:t>
          </a:r>
        </a:p>
        <a:p>
          <a:pPr rtl="0" eaLnBrk="0" fontAlgn="base" latinLnBrk="0" hangingPunct="0"/>
          <a:endParaRPr lang="en-AU" sz="1800">
            <a:effectLst/>
          </a:endParaRPr>
        </a:p>
        <a:p>
          <a:pPr rtl="0" eaLnBrk="0" fontAlgn="base" latinLnBrk="0" hangingPunct="0"/>
          <a:r>
            <a:rPr lang="en-US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negative Sharpe </a:t>
          </a:r>
          <a:r>
            <a:rPr 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Ratio means the investment is underperforming the risk-free rate, implying it might not be worth the risk.</a:t>
          </a:r>
          <a:endParaRPr lang="en-AU" sz="1800">
            <a:effectLst/>
          </a:endParaRPr>
        </a:p>
        <a:p>
          <a:endParaRPr lang="en-AU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365125</xdr:colOff>
      <xdr:row>4</xdr:row>
      <xdr:rowOff>22225</xdr:rowOff>
    </xdr:from>
    <xdr:to>
      <xdr:col>20</xdr:col>
      <xdr:colOff>365125</xdr:colOff>
      <xdr:row>18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BDF6C-0180-4903-BF1D-8D281A7BB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274320</xdr:colOff>
      <xdr:row>0</xdr:row>
      <xdr:rowOff>99061</xdr:rowOff>
    </xdr:from>
    <xdr:to>
      <xdr:col>29</xdr:col>
      <xdr:colOff>721</xdr:colOff>
      <xdr:row>2</xdr:row>
      <xdr:rowOff>86516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0834D8-C7CD-48E0-8850-A3694B43D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9160" y="99061"/>
          <a:ext cx="5868121" cy="467515"/>
        </a:xfrm>
        <a:prstGeom prst="rect">
          <a:avLst/>
        </a:prstGeom>
      </xdr:spPr>
    </xdr:pic>
    <xdr:clientData/>
  </xdr:twoCellAnchor>
  <xdr:twoCellAnchor editAs="oneCell">
    <xdr:from>
      <xdr:col>22</xdr:col>
      <xdr:colOff>358140</xdr:colOff>
      <xdr:row>3</xdr:row>
      <xdr:rowOff>137160</xdr:rowOff>
    </xdr:from>
    <xdr:to>
      <xdr:col>28</xdr:col>
      <xdr:colOff>327903</xdr:colOff>
      <xdr:row>8</xdr:row>
      <xdr:rowOff>137239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CE5ABB-93B1-4221-8F30-A176D113C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7620" y="800100"/>
          <a:ext cx="2804403" cy="914479"/>
        </a:xfrm>
        <a:prstGeom prst="rect">
          <a:avLst/>
        </a:prstGeom>
      </xdr:spPr>
    </xdr:pic>
    <xdr:clientData/>
  </xdr:twoCellAnchor>
  <xdr:twoCellAnchor editAs="oneCell">
    <xdr:from>
      <xdr:col>22</xdr:col>
      <xdr:colOff>348342</xdr:colOff>
      <xdr:row>9</xdr:row>
      <xdr:rowOff>10886</xdr:rowOff>
    </xdr:from>
    <xdr:to>
      <xdr:col>32</xdr:col>
      <xdr:colOff>412417</xdr:colOff>
      <xdr:row>25</xdr:row>
      <xdr:rowOff>46277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FADDF0-3523-4CB6-8EAB-54CED7B6A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75571" y="1785257"/>
          <a:ext cx="4744932" cy="30833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464820</xdr:colOff>
      <xdr:row>0</xdr:row>
      <xdr:rowOff>281940</xdr:rowOff>
    </xdr:from>
    <xdr:to>
      <xdr:col>19</xdr:col>
      <xdr:colOff>414237</xdr:colOff>
      <xdr:row>6</xdr:row>
      <xdr:rowOff>147578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958F10A0-A9A2-4E01-AA89-9BD67C24DD6B}"/>
                </a:ext>
              </a:extLst>
            </xdr:cNvPr>
            <xdr:cNvSpPr txBox="1"/>
          </xdr:nvSpPr>
          <xdr:spPr>
            <a:xfrm>
              <a:off x="5737860" y="281940"/>
              <a:ext cx="3728937" cy="1077218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 </a:t>
              </a:r>
              <a14:m>
                <m:oMath xmlns:m="http://schemas.openxmlformats.org/officeDocument/2006/math">
                  <m:r>
                    <a:rPr lang="en-AU" altLang="ko-KR" i="1">
                      <a:latin typeface="Cambria Math" panose="02040503050406030204" pitchFamily="18" charset="0"/>
                      <a:ea typeface="ＭＳ Ｐゴシック" pitchFamily="34" charset="-128"/>
                    </a:rPr>
                    <m:t>𝐷</m:t>
                  </m:r>
                  <m:r>
                    <a:rPr lang="en-AU" altLang="ko-KR" i="1">
                      <a:latin typeface="Cambria Math" panose="02040503050406030204" pitchFamily="18" charset="0"/>
                      <a:ea typeface="ＭＳ Ｐゴシック" pitchFamily="34" charset="-128"/>
                    </a:rPr>
                    <m:t>=</m:t>
                  </m:r>
                  <m:r>
                    <a:rPr lang="en-AU" altLang="ko-KR" i="1">
                      <a:latin typeface="Cambria Math" panose="02040503050406030204" pitchFamily="18" charset="0"/>
                      <a:ea typeface="ＭＳ Ｐゴシック" pitchFamily="34" charset="-128"/>
                    </a:rPr>
                    <m:t>𝑎𝑃𝑏</m:t>
                  </m:r>
                </m:oMath>
              </a14:m>
              <a:endParaRPr lang="en-AU"/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Objective maximise</a:t>
              </a:r>
              <a14:m>
                <m:oMath xmlns:m="http://schemas.openxmlformats.org/officeDocument/2006/math">
                  <m:r>
                    <a:rPr lang="en-US" altLang="ko-KR" sz="1800" b="0" i="0">
                      <a:solidFill>
                        <a:prstClr val="black"/>
                      </a:solidFill>
                      <a:latin typeface="Cambria Math" panose="02040503050406030204" pitchFamily="18" charset="0"/>
                      <a:ea typeface="ＭＳ Ｐゴシック" pitchFamily="34" charset="-128"/>
                    </a:rPr>
                    <m:t>=</m:t>
                  </m:r>
                  <m:d>
                    <m:dPr>
                      <m:ctrlPr>
                        <a:rPr lang="en-AU" altLang="ko-KR" sz="180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  <a:ea typeface="ＭＳ Ｐゴシック" pitchFamily="34" charset="-128"/>
                        </a:rPr>
                      </m:ctrlPr>
                    </m:dPr>
                    <m:e>
                      <m:r>
                        <a:rPr lang="en-AU" altLang="ko-KR" sz="180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  <a:ea typeface="ＭＳ Ｐゴシック" pitchFamily="34" charset="-128"/>
                        </a:rPr>
                        <m:t>𝑃</m:t>
                      </m:r>
                      <m:r>
                        <a:rPr lang="en-AU" altLang="ko-KR" sz="1800" i="1">
                          <a:solidFill>
                            <a:prstClr val="black"/>
                          </a:solidFill>
                          <a:latin typeface="Cambria Math" panose="02040503050406030204" pitchFamily="18" charset="0"/>
                          <a:ea typeface="ＭＳ Ｐゴシック" pitchFamily="34" charset="-128"/>
                        </a:rPr>
                        <m:t>−$50</m:t>
                      </m:r>
                    </m:e>
                  </m:d>
                  <m:r>
                    <a:rPr lang="en-AU" altLang="ko-KR" sz="1800" i="1">
                      <a:solidFill>
                        <a:prstClr val="black"/>
                      </a:solidFill>
                      <a:latin typeface="Cambria Math" panose="02040503050406030204" pitchFamily="18" charset="0"/>
                      <a:ea typeface="ＭＳ Ｐゴシック" pitchFamily="34" charset="-128"/>
                    </a:rPr>
                    <m:t>𝐷</m:t>
                  </m:r>
                </m:oMath>
              </a14:m>
              <a:endParaRPr lang="en-US" altLang="ko-KR" sz="1800">
                <a:solidFill>
                  <a:prstClr val="black"/>
                </a:solidFill>
                <a:ea typeface="ＭＳ Ｐゴシック" pitchFamily="34" charset="-128"/>
              </a:endParaRPr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latin typeface="Gill Sans MT" panose="020B0502020104020203" pitchFamily="34" charset="0"/>
                  <a:ea typeface="ＭＳ Ｐゴシック" pitchFamily="34" charset="-128"/>
                </a:rPr>
                <a:t>                             = (P-$50)</a:t>
              </a:r>
              <a14:m>
                <m:oMath xmlns:m="http://schemas.openxmlformats.org/officeDocument/2006/math">
                  <m:r>
                    <a:rPr lang="en-AU" altLang="ko-KR" sz="1800" i="1">
                      <a:latin typeface="Cambria Math" panose="02040503050406030204" pitchFamily="18" charset="0"/>
                      <a:ea typeface="ＭＳ Ｐゴシック" pitchFamily="34" charset="-128"/>
                    </a:rPr>
                    <m:t>𝑎𝑃</m:t>
                  </m:r>
                  <m:r>
                    <a:rPr lang="en-AU" altLang="ko-KR" sz="1800" i="1" baseline="30000">
                      <a:latin typeface="Cambria Math" panose="02040503050406030204" pitchFamily="18" charset="0"/>
                      <a:ea typeface="ＭＳ Ｐゴシック" pitchFamily="34" charset="-128"/>
                    </a:rPr>
                    <m:t>𝑏</m:t>
                  </m:r>
                </m:oMath>
              </a14:m>
              <a:endParaRPr lang="en-AU" altLang="ko-KR" sz="1800">
                <a:solidFill>
                  <a:prstClr val="black"/>
                </a:solidFill>
                <a:latin typeface="Gill Sans MT" panose="020B0502020104020203" pitchFamily="34" charset="0"/>
                <a:ea typeface="ＭＳ Ｐゴシック" pitchFamily="34" charset="-128"/>
              </a:endParaRPr>
            </a:p>
          </xdr:txBody>
        </xdr:sp>
      </mc:Choice>
      <mc:Fallback xmlns="">
        <xdr:sp macro="" textlink="">
          <xdr:nvSpPr>
            <xdr:cNvPr id="2" name="TextBox 6">
              <a:extLst>
                <a:ext uri="{FF2B5EF4-FFF2-40B4-BE49-F238E27FC236}">
                  <a16:creationId xmlns:a16="http://schemas.microsoft.com/office/drawing/2014/main" id="{958F10A0-A9A2-4E01-AA89-9BD67C24DD6B}"/>
                </a:ext>
              </a:extLst>
            </xdr:cNvPr>
            <xdr:cNvSpPr txBox="1"/>
          </xdr:nvSpPr>
          <xdr:spPr>
            <a:xfrm>
              <a:off x="5737860" y="281940"/>
              <a:ext cx="3728937" cy="1077218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 </a:t>
              </a:r>
              <a:r>
                <a:rPr lang="en-AU" altLang="ko-KR" i="0">
                  <a:latin typeface="Cambria Math" panose="02040503050406030204" pitchFamily="18" charset="0"/>
                  <a:ea typeface="ＭＳ Ｐゴシック" pitchFamily="34" charset="-128"/>
                </a:rPr>
                <a:t>𝐷=𝑎𝑃</a:t>
              </a:r>
              <a:r>
                <a:rPr lang="en-AU" altLang="ko-KR" i="0" baseline="30000">
                  <a:latin typeface="Cambria Math" panose="02040503050406030204" pitchFamily="18" charset="0"/>
                  <a:ea typeface="ＭＳ Ｐゴシック" pitchFamily="34" charset="-128"/>
                </a:rPr>
                <a:t>𝑏</a:t>
              </a:r>
              <a:endParaRPr lang="en-AU"/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ea typeface="ＭＳ Ｐゴシック" pitchFamily="34" charset="-128"/>
                </a:rPr>
                <a:t>Objective maximise</a:t>
              </a:r>
              <a:r>
                <a:rPr lang="en-US" altLang="ko-KR" sz="1800" b="0" i="0">
                  <a:solidFill>
                    <a:prstClr val="black"/>
                  </a:solidFill>
                  <a:latin typeface="Cambria Math" panose="02040503050406030204" pitchFamily="18" charset="0"/>
                  <a:ea typeface="ＭＳ Ｐゴシック" pitchFamily="34" charset="-128"/>
                </a:rPr>
                <a:t>=</a:t>
              </a:r>
              <a:r>
                <a:rPr lang="en-AU" altLang="ko-KR" sz="1800" i="0">
                  <a:solidFill>
                    <a:prstClr val="black"/>
                  </a:solidFill>
                  <a:latin typeface="Cambria Math" panose="02040503050406030204" pitchFamily="18" charset="0"/>
                  <a:ea typeface="ＭＳ Ｐゴシック" pitchFamily="34" charset="-128"/>
                </a:rPr>
                <a:t>(𝑃−$50)𝐷</a:t>
              </a:r>
              <a:endParaRPr lang="en-US" altLang="ko-KR" sz="1800">
                <a:solidFill>
                  <a:prstClr val="black"/>
                </a:solidFill>
                <a:ea typeface="ＭＳ Ｐゴシック" pitchFamily="34" charset="-128"/>
              </a:endParaRPr>
            </a:p>
            <a:p>
              <a:pPr marL="90488" lvl="1" defTabSz="457200">
                <a:spcAft>
                  <a:spcPts val="600"/>
                </a:spcAft>
              </a:pPr>
              <a:r>
                <a:rPr lang="en-AU" altLang="ko-KR" sz="1800">
                  <a:solidFill>
                    <a:prstClr val="black"/>
                  </a:solidFill>
                  <a:latin typeface="Gill Sans MT" panose="020B0502020104020203" pitchFamily="34" charset="0"/>
                  <a:ea typeface="ＭＳ Ｐゴシック" pitchFamily="34" charset="-128"/>
                </a:rPr>
                <a:t>                             = (P-$50)</a:t>
              </a:r>
              <a:r>
                <a:rPr lang="en-AU" altLang="ko-KR" sz="1800" i="0">
                  <a:latin typeface="Cambria Math" panose="02040503050406030204" pitchFamily="18" charset="0"/>
                  <a:ea typeface="ＭＳ Ｐゴシック" pitchFamily="34" charset="-128"/>
                </a:rPr>
                <a:t>𝑎𝑃</a:t>
              </a:r>
              <a:r>
                <a:rPr lang="en-AU" altLang="ko-KR" sz="1800" i="0" baseline="30000">
                  <a:latin typeface="Cambria Math" panose="02040503050406030204" pitchFamily="18" charset="0"/>
                  <a:ea typeface="ＭＳ Ｐゴシック" pitchFamily="34" charset="-128"/>
                </a:rPr>
                <a:t>𝑏</a:t>
              </a:r>
              <a:endParaRPr lang="en-AU" altLang="ko-KR" sz="1800">
                <a:solidFill>
                  <a:prstClr val="black"/>
                </a:solidFill>
                <a:latin typeface="Gill Sans MT" panose="020B0502020104020203" pitchFamily="34" charset="0"/>
                <a:ea typeface="ＭＳ Ｐゴシック" pitchFamily="34" charset="-128"/>
              </a:endParaRPr>
            </a:p>
          </xdr:txBody>
        </xdr:sp>
      </mc:Fallback>
    </mc:AlternateContent>
    <xdr:clientData/>
  </xdr:twoCellAnchor>
  <xdr:twoCellAnchor editAs="oneCell">
    <xdr:from>
      <xdr:col>8</xdr:col>
      <xdr:colOff>198120</xdr:colOff>
      <xdr:row>0</xdr:row>
      <xdr:rowOff>228600</xdr:rowOff>
    </xdr:from>
    <xdr:to>
      <xdr:col>11</xdr:col>
      <xdr:colOff>320173</xdr:colOff>
      <xdr:row>4</xdr:row>
      <xdr:rowOff>167708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5FD7FB-2F1F-44DA-87BF-D35AD6B3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228600"/>
          <a:ext cx="1539373" cy="7849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301625</xdr:colOff>
      <xdr:row>3</xdr:row>
      <xdr:rowOff>174625</xdr:rowOff>
    </xdr:from>
    <xdr:to>
      <xdr:col>21</xdr:col>
      <xdr:colOff>301625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457200</xdr:colOff>
      <xdr:row>25</xdr:row>
      <xdr:rowOff>38100</xdr:rowOff>
    </xdr:from>
    <xdr:to>
      <xdr:col>26</xdr:col>
      <xdr:colOff>140549</xdr:colOff>
      <xdr:row>41</xdr:row>
      <xdr:rowOff>16467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F37457-D18E-427F-8811-F9E9AEC3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4711700"/>
          <a:ext cx="6261949" cy="28612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1127760</xdr:colOff>
      <xdr:row>5</xdr:row>
      <xdr:rowOff>83820</xdr:rowOff>
    </xdr:from>
    <xdr:to>
      <xdr:col>17</xdr:col>
      <xdr:colOff>157097</xdr:colOff>
      <xdr:row>20</xdr:row>
      <xdr:rowOff>147473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8E2AE9-0DFD-4AD1-B2FC-776768003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3480" y="1112520"/>
          <a:ext cx="5353937" cy="28068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307975</xdr:colOff>
      <xdr:row>27</xdr:row>
      <xdr:rowOff>635</xdr:rowOff>
    </xdr:from>
    <xdr:to>
      <xdr:col>15</xdr:col>
      <xdr:colOff>9525</xdr:colOff>
      <xdr:row>41</xdr:row>
      <xdr:rowOff>169545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464820</xdr:colOff>
      <xdr:row>11</xdr:row>
      <xdr:rowOff>114300</xdr:rowOff>
    </xdr:from>
    <xdr:to>
      <xdr:col>27</xdr:col>
      <xdr:colOff>61970</xdr:colOff>
      <xdr:row>13</xdr:row>
      <xdr:rowOff>139469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51339-22F5-4E13-A3FC-74F061BF3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0" y="2590800"/>
          <a:ext cx="5266430" cy="406169"/>
        </a:xfrm>
        <a:prstGeom prst="rect">
          <a:avLst/>
        </a:prstGeom>
      </xdr:spPr>
    </xdr:pic>
    <xdr:clientData/>
  </xdr:twoCellAnchor>
  <xdr:oneCellAnchor>
    <xdr:from>
      <xdr:col>19</xdr:col>
      <xdr:colOff>350520</xdr:colOff>
      <xdr:row>9</xdr:row>
      <xdr:rowOff>160020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794EDF-FB7E-4D30-AD5F-348C60758115}"/>
            </a:ext>
          </a:extLst>
        </xdr:cNvPr>
        <xdr:cNvSpPr txBox="1"/>
      </xdr:nvSpPr>
      <xdr:spPr>
        <a:xfrm>
          <a:off x="11605260" y="2270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15</xdr:col>
      <xdr:colOff>335280</xdr:colOff>
      <xdr:row>20</xdr:row>
      <xdr:rowOff>175260</xdr:rowOff>
    </xdr:from>
    <xdr:ext cx="5519524" cy="4054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EE8B41-1F1C-1CB4-C7B4-2B06D2A87080}"/>
            </a:ext>
          </a:extLst>
        </xdr:cNvPr>
        <xdr:cNvSpPr txBox="1"/>
      </xdr:nvSpPr>
      <xdr:spPr>
        <a:xfrm>
          <a:off x="9806940" y="4511040"/>
          <a:ext cx="5519524" cy="405432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AU" sz="2000" b="1">
              <a:solidFill>
                <a:srgbClr val="0070C0"/>
              </a:solidFill>
            </a:rPr>
            <a:t>Customer 1  =</a:t>
          </a:r>
          <a:r>
            <a:rPr lang="en-AU" sz="2000" b="1">
              <a:solidFill>
                <a:schemeClr val="tx1"/>
              </a:solidFill>
            </a:rPr>
            <a:t>SQRT</a:t>
          </a:r>
          <a:r>
            <a:rPr lang="en-AU" sz="2000" b="1">
              <a:solidFill>
                <a:srgbClr val="0070C0"/>
              </a:solidFill>
            </a:rPr>
            <a:t>(SUM</a:t>
          </a:r>
          <a:r>
            <a:rPr lang="en-AU" sz="2000" b="1">
              <a:solidFill>
                <a:srgbClr val="0033CC"/>
              </a:solidFill>
            </a:rPr>
            <a:t>XMY</a:t>
          </a:r>
          <a:r>
            <a:rPr lang="en-AU" sz="2000" b="1">
              <a:solidFill>
                <a:srgbClr val="0070C0"/>
              </a:solidFill>
            </a:rPr>
            <a:t>2(C6:D6,C$14:D$14))</a:t>
          </a:r>
        </a:p>
      </xdr:txBody>
    </xdr:sp>
    <xdr:clientData/>
  </xdr:oneCellAnchor>
  <xdr:twoCellAnchor editAs="oneCell">
    <xdr:from>
      <xdr:col>15</xdr:col>
      <xdr:colOff>251460</xdr:colOff>
      <xdr:row>0</xdr:row>
      <xdr:rowOff>0</xdr:rowOff>
    </xdr:from>
    <xdr:to>
      <xdr:col>25</xdr:col>
      <xdr:colOff>412263</xdr:colOff>
      <xdr:row>11</xdr:row>
      <xdr:rowOff>25878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9DEEC6-471C-BC67-741A-B90FA7704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16440" y="0"/>
          <a:ext cx="4885203" cy="2502378"/>
        </a:xfrm>
        <a:prstGeom prst="rect">
          <a:avLst/>
        </a:prstGeom>
      </xdr:spPr>
    </xdr:pic>
    <xdr:clientData/>
  </xdr:twoCellAnchor>
  <xdr:twoCellAnchor editAs="oneCell">
    <xdr:from>
      <xdr:col>15</xdr:col>
      <xdr:colOff>304800</xdr:colOff>
      <xdr:row>15</xdr:row>
      <xdr:rowOff>30480</xdr:rowOff>
    </xdr:from>
    <xdr:to>
      <xdr:col>29</xdr:col>
      <xdr:colOff>100965</xdr:colOff>
      <xdr:row>19</xdr:row>
      <xdr:rowOff>68895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6603D2-1978-4148-8619-92D66321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76460" y="3268980"/>
          <a:ext cx="6410325" cy="952815"/>
        </a:xfrm>
        <a:prstGeom prst="rect">
          <a:avLst/>
        </a:prstGeom>
      </xdr:spPr>
    </xdr:pic>
    <xdr:clientData/>
  </xdr:twoCellAnchor>
  <xdr:twoCellAnchor editAs="oneCell">
    <xdr:from>
      <xdr:col>7</xdr:col>
      <xdr:colOff>297180</xdr:colOff>
      <xdr:row>11</xdr:row>
      <xdr:rowOff>182880</xdr:rowOff>
    </xdr:from>
    <xdr:to>
      <xdr:col>14</xdr:col>
      <xdr:colOff>381527</xdr:colOff>
      <xdr:row>25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28F1FC-C6E9-4C87-963E-447C1B6F5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20640" y="2659380"/>
          <a:ext cx="4260107" cy="2600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510540</xdr:colOff>
      <xdr:row>9</xdr:row>
      <xdr:rowOff>45720</xdr:rowOff>
    </xdr:from>
    <xdr:to>
      <xdr:col>36</xdr:col>
      <xdr:colOff>465974</xdr:colOff>
      <xdr:row>30</xdr:row>
      <xdr:rowOff>84211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B9FC79-C8DF-39B0-828D-86AD6781C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940" y="1882140"/>
          <a:ext cx="13313294" cy="4511431"/>
        </a:xfrm>
        <a:prstGeom prst="rect">
          <a:avLst/>
        </a:prstGeom>
      </xdr:spPr>
    </xdr:pic>
    <xdr:clientData/>
  </xdr:twoCellAnchor>
  <xdr:oneCellAnchor>
    <xdr:from>
      <xdr:col>10</xdr:col>
      <xdr:colOff>403860</xdr:colOff>
      <xdr:row>1</xdr:row>
      <xdr:rowOff>60961</xdr:rowOff>
    </xdr:from>
    <xdr:ext cx="6903720" cy="10941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4BA4F77-B029-A6DB-EB39-7E1B586A4BA4}"/>
                </a:ext>
              </a:extLst>
            </xdr:cNvPr>
            <xdr:cNvSpPr txBox="1"/>
          </xdr:nvSpPr>
          <xdr:spPr>
            <a:xfrm>
              <a:off x="6842760" y="358141"/>
              <a:ext cx="6903720" cy="1094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AU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An investment company intends to invest a given amount of money in three stocks. The means have been calculated from past returns, as well as the covariances between each pair of stocks. The company wants to find a </a:t>
              </a:r>
              <a:r>
                <a:rPr lang="en-AU" sz="16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minimum-variance portfolio that yields an annual return of at least </a:t>
              </a:r>
              <a14:m>
                <m:oMath xmlns:m="http://schemas.openxmlformats.org/officeDocument/2006/math">
                  <m:r>
                    <a:rPr lang="en-AU" sz="16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𝟏𝟐</m:t>
                  </m:r>
                  <m:r>
                    <a:rPr lang="en-AU" sz="16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%</m:t>
                  </m:r>
                </m:oMath>
              </a14:m>
              <a:r>
                <a:rPr lang="en-AU" sz="16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34BA4F77-B029-A6DB-EB39-7E1B586A4BA4}"/>
                </a:ext>
              </a:extLst>
            </xdr:cNvPr>
            <xdr:cNvSpPr txBox="1"/>
          </xdr:nvSpPr>
          <xdr:spPr>
            <a:xfrm>
              <a:off x="6842760" y="358141"/>
              <a:ext cx="6903720" cy="10941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AU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An investment company intends to invest a given amount of money in three stocks. The means have been calculated from past returns, as well as the covariances between each pair of stocks. The company wants to find a </a:t>
              </a:r>
              <a:r>
                <a:rPr lang="en-AU" sz="16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minimum-variance portfolio that yields an annual return of at least </a:t>
              </a:r>
              <a:r>
                <a:rPr lang="en-AU" sz="16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𝟏𝟐%</a:t>
              </a:r>
              <a:r>
                <a:rPr lang="en-AU" sz="16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AU" sz="1100"/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showGridLines="0" topLeftCell="A10" workbookViewId="0">
      <selection activeCell="X21" sqref="X21"/>
    </sheetView>
  </sheetViews>
  <sheetFormatPr defaultColWidth="9.28515625" defaultRowHeight="14.4" x14ac:dyDescent="0.3"/>
  <cols>
    <col min="1" max="1" width="5.42578125" customWidth="1"/>
    <col min="2" max="2" width="109.42578125" style="59" customWidth="1"/>
    <col min="3" max="3" width="9.28515625" style="59"/>
    <col min="4" max="4" width="14.28515625" style="59" customWidth="1"/>
    <col min="5" max="8" width="9.28515625" style="59"/>
    <col min="9" max="16384" width="9.28515625" style="60"/>
  </cols>
  <sheetData>
    <row r="1" spans="1:13" ht="24" customHeight="1" x14ac:dyDescent="0.45">
      <c r="A1" s="44"/>
      <c r="B1" s="90" t="s">
        <v>75</v>
      </c>
    </row>
    <row r="2" spans="1:13" ht="15.6" x14ac:dyDescent="0.3"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3" spans="1:13" ht="15.6" x14ac:dyDescent="0.3">
      <c r="A3" s="63"/>
      <c r="B3" s="93" t="s">
        <v>128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</row>
    <row r="4" spans="1:13" ht="15.6" x14ac:dyDescent="0.3">
      <c r="A4" s="63"/>
      <c r="B4" s="93" t="s">
        <v>129</v>
      </c>
      <c r="C4" s="65"/>
      <c r="D4" s="65"/>
      <c r="E4" s="65"/>
      <c r="F4" s="65"/>
      <c r="G4" s="65"/>
      <c r="H4" s="65"/>
      <c r="I4" s="65"/>
      <c r="J4" s="61"/>
      <c r="K4" s="61"/>
      <c r="L4" s="61"/>
      <c r="M4" s="62"/>
    </row>
    <row r="5" spans="1:13" ht="15.6" x14ac:dyDescent="0.3">
      <c r="A5" s="63"/>
      <c r="B5" s="93"/>
      <c r="C5" s="65"/>
      <c r="D5" s="65"/>
      <c r="E5" s="65"/>
      <c r="F5" s="65"/>
      <c r="G5" s="65"/>
      <c r="H5" s="65"/>
      <c r="I5" s="65"/>
      <c r="J5" s="61"/>
      <c r="K5" s="61"/>
      <c r="L5" s="61"/>
      <c r="M5" s="62"/>
    </row>
    <row r="6" spans="1:13" ht="15.6" x14ac:dyDescent="0.3">
      <c r="A6" s="91" t="s">
        <v>76</v>
      </c>
      <c r="B6" s="92" t="s">
        <v>97</v>
      </c>
      <c r="C6" s="60"/>
      <c r="D6" s="65"/>
      <c r="E6" s="65"/>
      <c r="F6" s="65"/>
      <c r="G6" s="65"/>
      <c r="H6" s="65"/>
      <c r="I6" s="65"/>
      <c r="J6" s="61"/>
      <c r="K6" s="61"/>
      <c r="L6" s="61"/>
      <c r="M6" s="62"/>
    </row>
    <row r="7" spans="1:13" ht="15.6" x14ac:dyDescent="0.3">
      <c r="A7" s="63"/>
      <c r="B7" s="64" t="s">
        <v>94</v>
      </c>
      <c r="C7" s="60"/>
      <c r="D7" s="65"/>
      <c r="E7" s="65"/>
      <c r="F7" s="65"/>
      <c r="G7" s="65"/>
      <c r="H7" s="65"/>
      <c r="I7" s="65"/>
      <c r="J7" s="61"/>
      <c r="K7" s="61"/>
      <c r="L7" s="61"/>
      <c r="M7" s="62"/>
    </row>
    <row r="8" spans="1:13" ht="15.6" x14ac:dyDescent="0.3">
      <c r="A8" s="63"/>
      <c r="B8" s="64" t="s">
        <v>95</v>
      </c>
      <c r="C8" s="60"/>
      <c r="D8" s="65"/>
      <c r="E8" s="65"/>
      <c r="F8" s="65"/>
      <c r="G8" s="65"/>
      <c r="H8" s="65"/>
      <c r="I8" s="65"/>
      <c r="J8" s="61"/>
      <c r="K8" s="61"/>
      <c r="L8" s="61"/>
      <c r="M8" s="62"/>
    </row>
    <row r="9" spans="1:13" ht="15.6" x14ac:dyDescent="0.3">
      <c r="A9" s="63"/>
      <c r="B9" s="64"/>
      <c r="C9" s="60"/>
      <c r="D9" s="65"/>
      <c r="E9" s="65"/>
      <c r="F9" s="65"/>
      <c r="G9" s="65"/>
      <c r="H9" s="65"/>
      <c r="I9" s="65"/>
      <c r="J9" s="61"/>
      <c r="K9" s="61"/>
      <c r="L9" s="61"/>
      <c r="M9" s="62"/>
    </row>
    <row r="10" spans="1:13" ht="15.6" x14ac:dyDescent="0.3">
      <c r="A10" s="63"/>
      <c r="B10" s="64" t="s">
        <v>96</v>
      </c>
      <c r="C10" s="60"/>
      <c r="D10" s="65"/>
      <c r="E10" s="65"/>
      <c r="F10" s="65"/>
      <c r="G10" s="65"/>
      <c r="H10" s="65"/>
      <c r="I10" s="65"/>
      <c r="J10" s="61"/>
      <c r="K10" s="61"/>
      <c r="L10" s="61"/>
      <c r="M10" s="62"/>
    </row>
    <row r="11" spans="1:13" ht="15.6" x14ac:dyDescent="0.3">
      <c r="A11" s="63"/>
      <c r="B11" s="61" t="s">
        <v>92</v>
      </c>
      <c r="C11" s="60"/>
      <c r="D11" s="65"/>
      <c r="E11" s="65"/>
      <c r="F11" s="65"/>
      <c r="G11" s="65"/>
      <c r="H11" s="65"/>
      <c r="I11" s="65"/>
      <c r="J11" s="61"/>
      <c r="K11" s="61"/>
      <c r="L11" s="61"/>
      <c r="M11" s="62"/>
    </row>
    <row r="12" spans="1:13" ht="15.6" x14ac:dyDescent="0.3">
      <c r="A12" s="63"/>
      <c r="B12" s="61"/>
      <c r="C12" s="60"/>
      <c r="D12" s="65"/>
      <c r="E12" s="65"/>
      <c r="F12" s="65"/>
      <c r="G12" s="65"/>
      <c r="H12" s="65"/>
      <c r="I12" s="65"/>
      <c r="J12" s="61"/>
      <c r="K12" s="61"/>
      <c r="L12" s="61"/>
      <c r="M12" s="62"/>
    </row>
    <row r="13" spans="1:13" ht="15.6" x14ac:dyDescent="0.3">
      <c r="A13" s="63"/>
      <c r="B13" s="64" t="s">
        <v>127</v>
      </c>
      <c r="C13" s="60"/>
      <c r="D13" s="65"/>
      <c r="E13" s="65"/>
      <c r="F13" s="65"/>
      <c r="G13" s="65"/>
      <c r="H13" s="65"/>
      <c r="I13" s="65"/>
      <c r="J13" s="61"/>
      <c r="K13" s="61"/>
      <c r="L13" s="61"/>
      <c r="M13" s="62"/>
    </row>
    <row r="14" spans="1:13" ht="15.6" x14ac:dyDescent="0.3">
      <c r="A14" s="63"/>
      <c r="B14" s="64"/>
      <c r="C14" s="60"/>
      <c r="D14" s="65"/>
      <c r="E14" s="65"/>
      <c r="F14" s="65"/>
      <c r="G14" s="65"/>
      <c r="H14" s="65"/>
      <c r="I14" s="65"/>
      <c r="J14" s="61"/>
      <c r="K14" s="61"/>
      <c r="L14" s="61"/>
      <c r="M14" s="62"/>
    </row>
    <row r="15" spans="1:13" ht="15.6" x14ac:dyDescent="0.3">
      <c r="A15" s="63"/>
      <c r="B15" s="64" t="s">
        <v>130</v>
      </c>
      <c r="C15" s="60"/>
      <c r="D15" s="65"/>
      <c r="E15" s="65"/>
      <c r="F15" s="65"/>
      <c r="G15" s="65"/>
      <c r="H15" s="65"/>
      <c r="I15" s="65"/>
      <c r="J15" s="61"/>
      <c r="K15" s="61"/>
      <c r="L15" s="61"/>
      <c r="M15" s="62"/>
    </row>
    <row r="16" spans="1:13" ht="31.2" x14ac:dyDescent="0.3">
      <c r="A16" s="63"/>
      <c r="B16" s="102" t="s">
        <v>131</v>
      </c>
      <c r="C16" s="60"/>
      <c r="D16" s="65"/>
      <c r="E16" s="65"/>
      <c r="F16" s="65"/>
      <c r="G16" s="65"/>
      <c r="H16" s="65"/>
      <c r="I16" s="65"/>
      <c r="J16" s="61"/>
      <c r="K16" s="61"/>
      <c r="L16" s="61"/>
      <c r="M16" s="62"/>
    </row>
    <row r="17" spans="1:13" ht="15.6" x14ac:dyDescent="0.3">
      <c r="A17" s="63"/>
      <c r="B17" s="64"/>
      <c r="C17" s="60"/>
      <c r="D17" s="65"/>
      <c r="E17" s="65"/>
      <c r="F17" s="65"/>
      <c r="G17" s="65"/>
      <c r="H17" s="65"/>
      <c r="I17" s="65"/>
      <c r="J17" s="61"/>
      <c r="K17" s="61"/>
      <c r="L17" s="61"/>
      <c r="M17" s="62"/>
    </row>
    <row r="18" spans="1:13" ht="15.6" x14ac:dyDescent="0.3">
      <c r="A18" s="63"/>
      <c r="B18" s="64" t="s">
        <v>107</v>
      </c>
      <c r="C18" s="60"/>
      <c r="D18" s="65"/>
      <c r="E18" s="65"/>
      <c r="F18" s="65"/>
      <c r="G18" s="65"/>
      <c r="H18" s="65"/>
      <c r="I18" s="65"/>
      <c r="J18" s="61"/>
      <c r="K18" s="61"/>
      <c r="L18" s="61"/>
      <c r="M18" s="62"/>
    </row>
    <row r="19" spans="1:13" ht="15.6" x14ac:dyDescent="0.3">
      <c r="A19" s="63"/>
      <c r="B19" s="64" t="s">
        <v>108</v>
      </c>
      <c r="C19" s="60"/>
      <c r="D19" s="65"/>
      <c r="E19" s="65"/>
      <c r="F19" s="65"/>
      <c r="G19" s="65"/>
      <c r="H19" s="65"/>
      <c r="I19" s="65"/>
      <c r="J19" s="61"/>
      <c r="K19" s="61"/>
      <c r="L19" s="61"/>
      <c r="M19" s="62"/>
    </row>
    <row r="20" spans="1:13" ht="15.6" x14ac:dyDescent="0.3">
      <c r="A20" s="63"/>
      <c r="B20" s="64" t="s">
        <v>111</v>
      </c>
      <c r="C20" s="60"/>
      <c r="D20" s="65"/>
      <c r="E20" s="65"/>
      <c r="F20" s="65"/>
      <c r="G20" s="65"/>
      <c r="H20" s="65"/>
      <c r="I20" s="65"/>
      <c r="J20" s="61"/>
      <c r="K20" s="61"/>
      <c r="L20" s="61"/>
      <c r="M20" s="62"/>
    </row>
    <row r="21" spans="1:13" ht="15.6" x14ac:dyDescent="0.3">
      <c r="A21" s="63"/>
      <c r="B21" s="64" t="s">
        <v>109</v>
      </c>
      <c r="C21" s="60"/>
      <c r="D21" s="65"/>
      <c r="E21" s="65"/>
      <c r="F21" s="65"/>
      <c r="G21" s="65"/>
      <c r="H21" s="65"/>
      <c r="I21" s="65"/>
      <c r="J21" s="61"/>
      <c r="K21" s="61"/>
      <c r="L21" s="61"/>
      <c r="M21" s="62"/>
    </row>
    <row r="22" spans="1:13" ht="15.6" x14ac:dyDescent="0.3">
      <c r="A22" s="63"/>
      <c r="B22" s="64" t="s">
        <v>110</v>
      </c>
      <c r="C22" s="60"/>
      <c r="D22" s="65"/>
      <c r="E22" s="65"/>
      <c r="F22" s="65"/>
      <c r="G22" s="65"/>
      <c r="H22" s="65"/>
      <c r="I22" s="65"/>
      <c r="J22" s="61"/>
      <c r="K22" s="61"/>
      <c r="L22" s="61"/>
      <c r="M22" s="62"/>
    </row>
    <row r="23" spans="1:13" ht="31.2" x14ac:dyDescent="0.3">
      <c r="A23" s="63"/>
      <c r="B23" s="100" t="s">
        <v>113</v>
      </c>
      <c r="C23" s="60"/>
      <c r="D23" s="65"/>
      <c r="E23" s="65"/>
      <c r="F23" s="65"/>
      <c r="G23" s="65"/>
      <c r="H23" s="65"/>
      <c r="I23" s="65"/>
      <c r="J23" s="61"/>
      <c r="K23" s="61"/>
      <c r="L23" s="61"/>
      <c r="M23" s="62"/>
    </row>
    <row r="24" spans="1:13" ht="15.6" x14ac:dyDescent="0.3">
      <c r="A24" s="63"/>
      <c r="B24" s="64"/>
      <c r="C24" s="60"/>
      <c r="D24" s="65"/>
      <c r="E24" s="65"/>
      <c r="F24" s="65"/>
      <c r="G24" s="65"/>
      <c r="H24" s="65"/>
      <c r="I24" s="65"/>
      <c r="J24" s="61"/>
      <c r="K24" s="61"/>
      <c r="L24" s="61"/>
      <c r="M24" s="62"/>
    </row>
    <row r="25" spans="1:13" ht="31.2" x14ac:dyDescent="0.3">
      <c r="A25" s="63"/>
      <c r="B25" s="101" t="s">
        <v>112</v>
      </c>
      <c r="C25" s="60"/>
      <c r="D25" s="65"/>
      <c r="E25" s="65"/>
      <c r="F25" s="65"/>
      <c r="G25" s="65"/>
      <c r="H25" s="65"/>
      <c r="I25" s="65"/>
      <c r="J25" s="61"/>
      <c r="K25" s="61"/>
      <c r="L25" s="61"/>
      <c r="M25" s="62"/>
    </row>
    <row r="26" spans="1:13" ht="15.6" x14ac:dyDescent="0.3">
      <c r="A26" s="63"/>
      <c r="C26" s="60"/>
      <c r="D26" s="65"/>
      <c r="E26" s="65"/>
      <c r="F26" s="65"/>
      <c r="G26" s="65"/>
      <c r="H26" s="65"/>
      <c r="I26" s="65"/>
      <c r="J26" s="61"/>
      <c r="K26" s="61"/>
      <c r="L26" s="61"/>
      <c r="M26" s="62"/>
    </row>
    <row r="27" spans="1:13" ht="15.6" x14ac:dyDescent="0.3">
      <c r="A27" s="63"/>
      <c r="B27" s="64" t="s">
        <v>93</v>
      </c>
      <c r="C27" s="60"/>
      <c r="D27" s="65"/>
      <c r="E27" s="65"/>
      <c r="F27" s="65"/>
      <c r="G27" s="65"/>
      <c r="H27" s="65"/>
      <c r="I27" s="65"/>
      <c r="J27" s="61"/>
      <c r="K27" s="61"/>
      <c r="L27" s="61"/>
      <c r="M27" s="62"/>
    </row>
    <row r="28" spans="1:13" ht="15.6" x14ac:dyDescent="0.3">
      <c r="A28" s="63"/>
      <c r="B28" s="64"/>
      <c r="C28" s="60"/>
      <c r="D28" s="65"/>
      <c r="E28" s="65"/>
      <c r="F28" s="65"/>
      <c r="G28" s="65"/>
      <c r="H28" s="65"/>
      <c r="I28" s="65"/>
      <c r="J28" s="61"/>
      <c r="K28" s="61"/>
      <c r="L28" s="61"/>
      <c r="M28" s="62"/>
    </row>
    <row r="29" spans="1:13" ht="15.6" x14ac:dyDescent="0.3">
      <c r="A29" s="91" t="s">
        <v>77</v>
      </c>
      <c r="B29" s="92" t="s">
        <v>98</v>
      </c>
      <c r="C29" s="60"/>
      <c r="D29" s="65"/>
      <c r="E29" s="65"/>
      <c r="F29" s="65"/>
      <c r="G29" s="65"/>
      <c r="H29" s="65"/>
      <c r="I29" s="65"/>
      <c r="J29" s="61"/>
      <c r="K29" s="61"/>
      <c r="L29" s="61"/>
      <c r="M29" s="62"/>
    </row>
    <row r="30" spans="1:13" ht="15.6" x14ac:dyDescent="0.3">
      <c r="A30" s="63"/>
      <c r="B30" s="64" t="s">
        <v>116</v>
      </c>
      <c r="C30" s="60"/>
      <c r="D30" s="65"/>
      <c r="E30" s="65"/>
      <c r="F30" s="65"/>
      <c r="G30" s="65"/>
      <c r="H30" s="65"/>
      <c r="I30" s="65"/>
      <c r="J30" s="61"/>
      <c r="K30" s="61"/>
      <c r="L30" s="61"/>
      <c r="M30" s="62"/>
    </row>
    <row r="31" spans="1:13" ht="15.6" x14ac:dyDescent="0.3">
      <c r="A31" s="63"/>
      <c r="B31" s="64" t="s">
        <v>121</v>
      </c>
      <c r="C31" s="60"/>
      <c r="D31" s="65"/>
      <c r="E31" s="65"/>
      <c r="F31" s="65"/>
      <c r="G31" s="65"/>
      <c r="H31" s="65"/>
      <c r="I31" s="65"/>
      <c r="J31" s="61"/>
      <c r="K31" s="61"/>
      <c r="L31" s="61"/>
      <c r="M31" s="62"/>
    </row>
    <row r="32" spans="1:13" ht="15.6" x14ac:dyDescent="0.3">
      <c r="A32" s="63"/>
      <c r="B32" s="64"/>
      <c r="C32" s="60"/>
      <c r="D32" s="65"/>
      <c r="E32" s="65"/>
      <c r="F32" s="65"/>
      <c r="G32" s="65"/>
      <c r="H32" s="65"/>
      <c r="I32" s="65"/>
      <c r="J32" s="61"/>
      <c r="K32" s="61"/>
      <c r="L32" s="61"/>
      <c r="M32" s="62"/>
    </row>
    <row r="33" spans="1:14" ht="15.6" x14ac:dyDescent="0.3">
      <c r="A33" s="91" t="s">
        <v>117</v>
      </c>
      <c r="B33" s="92" t="s">
        <v>119</v>
      </c>
      <c r="C33" s="60"/>
      <c r="D33" s="65"/>
      <c r="E33" s="65"/>
      <c r="F33" s="65"/>
      <c r="G33" s="65"/>
      <c r="H33" s="65"/>
      <c r="I33" s="65"/>
      <c r="J33" s="61"/>
      <c r="K33" s="61"/>
      <c r="L33" s="61"/>
      <c r="M33" s="62"/>
    </row>
    <row r="34" spans="1:14" ht="15.6" x14ac:dyDescent="0.3">
      <c r="A34" s="63"/>
      <c r="B34" s="64" t="s">
        <v>120</v>
      </c>
      <c r="C34" s="60"/>
      <c r="D34" s="65"/>
      <c r="E34" s="65"/>
      <c r="F34" s="65"/>
      <c r="G34" s="65"/>
      <c r="H34" s="65"/>
      <c r="I34" s="65"/>
      <c r="J34" s="61"/>
      <c r="K34" s="61"/>
      <c r="L34" s="61"/>
      <c r="M34" s="62"/>
    </row>
    <row r="35" spans="1:14" ht="15.6" x14ac:dyDescent="0.3">
      <c r="A35" s="63"/>
      <c r="B35" s="64" t="s">
        <v>122</v>
      </c>
      <c r="C35" s="60"/>
      <c r="D35" s="65"/>
      <c r="E35" s="65"/>
      <c r="F35" s="65"/>
      <c r="G35" s="65"/>
      <c r="H35" s="65"/>
      <c r="I35" s="65"/>
      <c r="J35" s="61"/>
      <c r="K35" s="61"/>
      <c r="L35" s="61"/>
      <c r="M35" s="62"/>
    </row>
    <row r="36" spans="1:14" ht="15.6" x14ac:dyDescent="0.3">
      <c r="A36" s="63"/>
      <c r="B36" s="64"/>
      <c r="C36" s="60"/>
      <c r="D36" s="65"/>
      <c r="E36" s="65"/>
      <c r="F36" s="65"/>
      <c r="G36" s="65"/>
      <c r="H36" s="65"/>
      <c r="I36" s="65"/>
      <c r="J36" s="61"/>
      <c r="K36" s="61"/>
      <c r="L36" s="61"/>
      <c r="M36" s="62"/>
    </row>
    <row r="37" spans="1:14" ht="15.6" x14ac:dyDescent="0.3">
      <c r="A37" s="91" t="s">
        <v>118</v>
      </c>
      <c r="B37" s="92" t="s">
        <v>125</v>
      </c>
      <c r="C37" s="60"/>
      <c r="D37" s="65"/>
      <c r="E37" s="65"/>
      <c r="F37" s="65"/>
      <c r="G37" s="65"/>
      <c r="H37" s="65"/>
      <c r="I37" s="65"/>
      <c r="J37" s="61"/>
      <c r="K37" s="61"/>
      <c r="L37" s="61"/>
      <c r="M37" s="62"/>
    </row>
    <row r="38" spans="1:14" ht="15.6" x14ac:dyDescent="0.3">
      <c r="A38" s="63"/>
      <c r="B38" s="64" t="s">
        <v>124</v>
      </c>
      <c r="C38" s="60"/>
      <c r="D38" s="65"/>
      <c r="E38" s="65"/>
      <c r="F38" s="65"/>
      <c r="G38" s="65"/>
      <c r="H38" s="65"/>
      <c r="I38" s="65"/>
      <c r="J38" s="61"/>
      <c r="K38" s="61"/>
      <c r="L38" s="61"/>
      <c r="M38" s="62"/>
    </row>
    <row r="39" spans="1:14" ht="15.6" x14ac:dyDescent="0.3">
      <c r="A39" s="63"/>
      <c r="B39" s="64" t="s">
        <v>123</v>
      </c>
      <c r="C39" s="60"/>
      <c r="D39" s="65"/>
      <c r="E39" s="65"/>
      <c r="F39" s="65"/>
      <c r="G39" s="65"/>
      <c r="H39" s="65"/>
      <c r="I39" s="65"/>
      <c r="J39" s="61"/>
      <c r="K39" s="61"/>
      <c r="L39" s="61"/>
      <c r="M39" s="62"/>
    </row>
    <row r="40" spans="1:14" ht="15.6" x14ac:dyDescent="0.3">
      <c r="A40" s="63"/>
      <c r="B40" s="64"/>
      <c r="C40" s="60"/>
      <c r="D40" s="65"/>
      <c r="E40" s="65"/>
      <c r="F40" s="65"/>
      <c r="G40" s="65"/>
      <c r="H40" s="65"/>
      <c r="I40" s="65"/>
      <c r="J40" s="61"/>
      <c r="K40" s="61"/>
      <c r="L40" s="61"/>
      <c r="M40" s="62"/>
    </row>
    <row r="41" spans="1:14" ht="15.6" x14ac:dyDescent="0.3">
      <c r="A41" s="63"/>
      <c r="B41" s="64"/>
      <c r="C41" s="60"/>
      <c r="D41" s="65"/>
      <c r="E41" s="65"/>
      <c r="F41" s="65"/>
      <c r="G41" s="65"/>
      <c r="H41" s="65"/>
      <c r="I41" s="65"/>
      <c r="J41" s="61"/>
      <c r="K41" s="61"/>
      <c r="L41" s="61"/>
      <c r="M41" s="62"/>
    </row>
    <row r="42" spans="1:14" ht="15.6" x14ac:dyDescent="0.3">
      <c r="A42" s="63"/>
      <c r="B42" s="64"/>
      <c r="C42" s="60"/>
      <c r="D42" s="65"/>
      <c r="E42" s="65"/>
      <c r="F42" s="65"/>
      <c r="G42" s="65"/>
      <c r="H42" s="65"/>
      <c r="I42" s="65"/>
      <c r="J42" s="61"/>
      <c r="K42" s="61"/>
      <c r="L42" s="61"/>
      <c r="M42" s="62"/>
    </row>
    <row r="43" spans="1:14" ht="15.6" x14ac:dyDescent="0.3">
      <c r="A43" s="63"/>
      <c r="B43" s="64"/>
      <c r="C43" s="60"/>
      <c r="D43" s="65"/>
      <c r="E43" s="65"/>
      <c r="F43" s="65"/>
      <c r="G43" s="65"/>
      <c r="H43" s="65"/>
      <c r="I43" s="65"/>
      <c r="J43" s="61"/>
      <c r="K43" s="61"/>
      <c r="L43" s="61"/>
      <c r="M43" s="62"/>
    </row>
    <row r="44" spans="1:14" ht="15.6" x14ac:dyDescent="0.3">
      <c r="A44" s="63"/>
      <c r="B44" s="64"/>
      <c r="C44" s="60"/>
      <c r="D44" s="65"/>
      <c r="E44" s="65"/>
      <c r="F44" s="65"/>
      <c r="G44" s="65"/>
      <c r="H44" s="65"/>
      <c r="I44" s="65"/>
      <c r="J44" s="61"/>
      <c r="K44" s="61"/>
      <c r="L44" s="61"/>
      <c r="M44" s="62"/>
    </row>
    <row r="45" spans="1:14" ht="15.6" x14ac:dyDescent="0.3">
      <c r="A45" s="63"/>
      <c r="B45" s="64"/>
      <c r="C45" s="60"/>
      <c r="D45" s="65"/>
      <c r="E45" s="65"/>
      <c r="F45" s="65"/>
      <c r="G45" s="65"/>
      <c r="H45" s="65"/>
      <c r="I45" s="65"/>
      <c r="J45" s="61"/>
      <c r="K45" s="61"/>
      <c r="L45" s="61"/>
      <c r="M45" s="62"/>
    </row>
    <row r="46" spans="1:14" x14ac:dyDescent="0.3">
      <c r="A46" s="67"/>
      <c r="I46" s="66"/>
      <c r="J46" s="66"/>
      <c r="K46" s="66"/>
      <c r="L46" s="66"/>
      <c r="M46" s="66"/>
      <c r="N46" s="66"/>
    </row>
    <row r="47" spans="1:14" x14ac:dyDescent="0.3">
      <c r="A47" s="58"/>
      <c r="I47" s="66"/>
      <c r="J47" s="66"/>
      <c r="K47" s="66"/>
      <c r="L47" s="66"/>
      <c r="M47" s="66"/>
      <c r="N47" s="66"/>
    </row>
    <row r="48" spans="1:14" x14ac:dyDescent="0.3">
      <c r="A48" s="58"/>
    </row>
    <row r="49" spans="1:1" ht="15.6" x14ac:dyDescent="0.3">
      <c r="A49" s="68"/>
    </row>
    <row r="50" spans="1:1" ht="24" customHeight="1" x14ac:dyDescent="0.3">
      <c r="A50" s="6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61"/>
  <sheetViews>
    <sheetView showGridLines="0" tabSelected="1" topLeftCell="Q1" workbookViewId="0">
      <selection activeCell="AD17" sqref="AD17"/>
    </sheetView>
  </sheetViews>
  <sheetFormatPr defaultColWidth="9" defaultRowHeight="13.8" x14ac:dyDescent="0.3"/>
  <cols>
    <col min="1" max="1" width="15.5703125" style="51" customWidth="1"/>
    <col min="2" max="3" width="9" style="51"/>
    <col min="4" max="4" width="14.85546875" style="51" bestFit="1" customWidth="1"/>
    <col min="5" max="5" width="13.85546875" style="51" bestFit="1" customWidth="1"/>
    <col min="6" max="7" width="9" style="51"/>
    <col min="8" max="8" width="10.7109375" style="51" bestFit="1" customWidth="1"/>
    <col min="9" max="9" width="9" style="51"/>
    <col min="10" max="10" width="8.85546875" style="51" customWidth="1"/>
    <col min="11" max="12" width="9" style="51"/>
    <col min="13" max="13" width="14.85546875" style="51" bestFit="1" customWidth="1"/>
    <col min="14" max="14" width="13.85546875" style="51" bestFit="1" customWidth="1"/>
    <col min="15" max="16" width="9" style="51"/>
    <col min="17" max="17" width="10.7109375" style="51" bestFit="1" customWidth="1"/>
    <col min="18" max="18" width="9" style="51"/>
    <col min="19" max="19" width="8.7109375" style="51" bestFit="1" customWidth="1"/>
    <col min="20" max="20" width="8.7109375" style="51" customWidth="1"/>
    <col min="21" max="21" width="9" style="51"/>
    <col min="22" max="22" width="13.28515625" style="51" bestFit="1" customWidth="1"/>
    <col min="23" max="23" width="20.28515625" style="51" bestFit="1" customWidth="1"/>
    <col min="24" max="24" width="13.28515625" style="51" bestFit="1" customWidth="1"/>
    <col min="25" max="25" width="12.140625" style="51" bestFit="1" customWidth="1"/>
    <col min="26" max="27" width="9" style="51"/>
    <col min="28" max="28" width="12.140625" style="51" bestFit="1" customWidth="1"/>
    <col min="29" max="16384" width="9" style="51"/>
  </cols>
  <sheetData>
    <row r="2" spans="1:20" ht="14.4" thickBot="1" x14ac:dyDescent="0.35"/>
    <row r="3" spans="1:20" ht="16.2" thickBot="1" x14ac:dyDescent="0.35">
      <c r="A3" s="44"/>
      <c r="B3" s="126" t="s">
        <v>78</v>
      </c>
      <c r="C3" s="127"/>
      <c r="D3" s="127"/>
      <c r="E3" s="127"/>
      <c r="F3" s="127"/>
      <c r="G3" s="127"/>
      <c r="H3" s="127"/>
      <c r="I3" s="127"/>
      <c r="J3" s="128"/>
      <c r="K3" s="124" t="s">
        <v>79</v>
      </c>
      <c r="L3" s="124"/>
      <c r="M3" s="124"/>
      <c r="N3" s="124"/>
      <c r="O3" s="124"/>
      <c r="P3" s="124"/>
      <c r="Q3" s="124"/>
      <c r="R3" s="124"/>
      <c r="S3" s="125"/>
    </row>
    <row r="4" spans="1:20" ht="16.2" thickBot="1" x14ac:dyDescent="0.35">
      <c r="A4" s="76" t="s">
        <v>80</v>
      </c>
      <c r="B4" s="77" t="s">
        <v>81</v>
      </c>
      <c r="C4" s="78" t="s">
        <v>82</v>
      </c>
      <c r="D4" s="78" t="s">
        <v>83</v>
      </c>
      <c r="E4" s="78" t="s">
        <v>84</v>
      </c>
      <c r="F4" s="78" t="s">
        <v>85</v>
      </c>
      <c r="G4" s="78" t="s">
        <v>86</v>
      </c>
      <c r="H4" s="78" t="s">
        <v>87</v>
      </c>
      <c r="I4" s="78" t="s">
        <v>88</v>
      </c>
      <c r="J4" s="80" t="s">
        <v>89</v>
      </c>
      <c r="K4" s="82" t="s">
        <v>81</v>
      </c>
      <c r="L4" s="83" t="s">
        <v>82</v>
      </c>
      <c r="M4" s="83" t="s">
        <v>83</v>
      </c>
      <c r="N4" s="83" t="s">
        <v>84</v>
      </c>
      <c r="O4" s="83" t="s">
        <v>85</v>
      </c>
      <c r="P4" s="83" t="s">
        <v>86</v>
      </c>
      <c r="Q4" s="83" t="s">
        <v>87</v>
      </c>
      <c r="R4" s="83" t="s">
        <v>88</v>
      </c>
      <c r="S4" s="84" t="s">
        <v>89</v>
      </c>
    </row>
    <row r="5" spans="1:20" x14ac:dyDescent="0.3">
      <c r="A5" s="69">
        <v>41640</v>
      </c>
      <c r="B5" s="70">
        <v>35.93</v>
      </c>
      <c r="C5" s="70">
        <v>63.51</v>
      </c>
      <c r="D5" s="70">
        <v>43.43</v>
      </c>
      <c r="E5" s="70">
        <v>34.36</v>
      </c>
      <c r="F5" s="70">
        <v>34.24</v>
      </c>
      <c r="G5" s="70">
        <v>76.19</v>
      </c>
      <c r="H5" s="70">
        <v>31.71</v>
      </c>
      <c r="I5" s="70">
        <v>30.97</v>
      </c>
      <c r="J5" s="71">
        <v>5.22</v>
      </c>
      <c r="K5" s="81"/>
      <c r="L5" s="81"/>
      <c r="M5" s="81"/>
      <c r="N5" s="81"/>
      <c r="O5" s="81"/>
      <c r="P5" s="81"/>
      <c r="Q5" s="81"/>
      <c r="R5" s="81"/>
      <c r="S5" s="81"/>
    </row>
    <row r="6" spans="1:20" x14ac:dyDescent="0.3">
      <c r="A6" s="69">
        <v>41610</v>
      </c>
      <c r="B6" s="72">
        <v>37.99</v>
      </c>
      <c r="C6" s="72">
        <v>68.180000000000007</v>
      </c>
      <c r="D6" s="72">
        <v>44.04</v>
      </c>
      <c r="E6" s="72">
        <v>33.85</v>
      </c>
      <c r="F6" s="72">
        <v>34.83</v>
      </c>
      <c r="G6" s="72">
        <v>77.8</v>
      </c>
      <c r="H6" s="72">
        <v>32.380000000000003</v>
      </c>
      <c r="I6" s="72">
        <v>32.229999999999997</v>
      </c>
      <c r="J6" s="73">
        <v>5.25</v>
      </c>
      <c r="K6" s="79"/>
      <c r="L6" s="79"/>
      <c r="M6" s="79"/>
      <c r="N6" s="79"/>
      <c r="O6" s="79"/>
      <c r="P6" s="79"/>
      <c r="Q6" s="79"/>
      <c r="R6" s="79"/>
      <c r="S6" s="79"/>
    </row>
    <row r="7" spans="1:20" x14ac:dyDescent="0.3">
      <c r="A7" s="69">
        <v>41579</v>
      </c>
      <c r="B7" s="72">
        <v>37.39</v>
      </c>
      <c r="C7" s="72">
        <v>66.06</v>
      </c>
      <c r="D7" s="72">
        <v>42.92</v>
      </c>
      <c r="E7" s="72">
        <v>33.69</v>
      </c>
      <c r="F7" s="72">
        <v>34.58</v>
      </c>
      <c r="G7" s="72">
        <v>77.819999999999993</v>
      </c>
      <c r="H7" s="72">
        <v>32.880000000000003</v>
      </c>
      <c r="I7" s="72">
        <v>31.9</v>
      </c>
      <c r="J7" s="73">
        <v>5.0599999999999996</v>
      </c>
      <c r="K7" s="79"/>
      <c r="L7" s="79"/>
      <c r="M7" s="79"/>
      <c r="N7" s="79"/>
      <c r="O7" s="79"/>
      <c r="P7" s="79"/>
      <c r="Q7" s="79"/>
      <c r="R7" s="79"/>
      <c r="S7" s="79"/>
    </row>
    <row r="8" spans="1:20" x14ac:dyDescent="0.3">
      <c r="A8" s="69">
        <v>41548</v>
      </c>
      <c r="B8" s="72">
        <v>37.659999999999997</v>
      </c>
      <c r="C8" s="72">
        <v>63.99</v>
      </c>
      <c r="D8" s="72">
        <v>44.06</v>
      </c>
      <c r="E8" s="72">
        <v>34.9</v>
      </c>
      <c r="F8" s="72">
        <v>34.36</v>
      </c>
      <c r="G8" s="72">
        <v>76.08</v>
      </c>
      <c r="H8" s="72">
        <v>33.409999999999997</v>
      </c>
      <c r="I8" s="72">
        <v>33.840000000000003</v>
      </c>
      <c r="J8" s="73">
        <v>5.18</v>
      </c>
      <c r="K8" s="79"/>
      <c r="L8" s="79"/>
      <c r="M8" s="79"/>
      <c r="N8" s="79"/>
      <c r="O8" s="79"/>
      <c r="P8" s="79"/>
      <c r="Q8" s="79"/>
      <c r="R8" s="79"/>
      <c r="S8" s="79"/>
      <c r="T8" s="74"/>
    </row>
    <row r="9" spans="1:20" x14ac:dyDescent="0.3">
      <c r="A9" s="69">
        <v>41519</v>
      </c>
      <c r="B9" s="72">
        <v>35.74</v>
      </c>
      <c r="C9" s="72">
        <v>61.74</v>
      </c>
      <c r="D9" s="72">
        <v>42.17</v>
      </c>
      <c r="E9" s="72">
        <v>35</v>
      </c>
      <c r="F9" s="72">
        <v>33.39</v>
      </c>
      <c r="G9" s="72">
        <v>71.209999999999994</v>
      </c>
      <c r="H9" s="72">
        <v>31.89</v>
      </c>
      <c r="I9" s="72">
        <v>30.78</v>
      </c>
      <c r="J9" s="73">
        <v>4.97</v>
      </c>
      <c r="K9" s="79"/>
      <c r="L9" s="79"/>
      <c r="M9" s="79"/>
      <c r="N9" s="79"/>
      <c r="O9" s="79"/>
      <c r="P9" s="79"/>
      <c r="Q9" s="79"/>
      <c r="R9" s="79"/>
      <c r="S9" s="79"/>
      <c r="T9" s="74"/>
    </row>
    <row r="10" spans="1:20" x14ac:dyDescent="0.3">
      <c r="A10" s="69">
        <v>41487</v>
      </c>
      <c r="B10" s="72">
        <v>35.11</v>
      </c>
      <c r="C10" s="72">
        <v>58.3</v>
      </c>
      <c r="D10" s="72">
        <v>41.69</v>
      </c>
      <c r="E10" s="72">
        <v>34.950000000000003</v>
      </c>
      <c r="F10" s="72">
        <v>31.57</v>
      </c>
      <c r="G10" s="72">
        <v>72.84</v>
      </c>
      <c r="H10" s="72">
        <v>30.58</v>
      </c>
      <c r="I10" s="72">
        <v>29.69</v>
      </c>
      <c r="J10" s="73">
        <v>4.9000000000000004</v>
      </c>
      <c r="K10" s="79"/>
      <c r="L10" s="79"/>
      <c r="M10" s="79"/>
      <c r="N10" s="79"/>
      <c r="O10" s="79"/>
      <c r="P10" s="79"/>
      <c r="Q10" s="79"/>
      <c r="R10" s="79"/>
      <c r="S10" s="79"/>
      <c r="T10" s="74"/>
    </row>
    <row r="11" spans="1:20" x14ac:dyDescent="0.3">
      <c r="A11" s="69">
        <v>41456</v>
      </c>
      <c r="B11" s="72">
        <v>34.020000000000003</v>
      </c>
      <c r="C11" s="72">
        <v>57.51</v>
      </c>
      <c r="D11" s="72">
        <v>40.549999999999997</v>
      </c>
      <c r="E11" s="72">
        <v>32.65</v>
      </c>
      <c r="F11" s="72">
        <v>30.39</v>
      </c>
      <c r="G11" s="72">
        <v>72.19</v>
      </c>
      <c r="H11" s="72">
        <v>30.1</v>
      </c>
      <c r="I11" s="72">
        <v>29.76</v>
      </c>
      <c r="J11" s="73">
        <v>4.8499999999999996</v>
      </c>
      <c r="K11" s="79"/>
      <c r="L11" s="79"/>
      <c r="M11" s="79"/>
      <c r="N11" s="79"/>
      <c r="O11" s="79"/>
      <c r="P11" s="79"/>
      <c r="Q11" s="79"/>
      <c r="R11" s="79"/>
      <c r="S11" s="79"/>
      <c r="T11" s="74"/>
    </row>
    <row r="12" spans="1:20" x14ac:dyDescent="0.3">
      <c r="A12" s="69">
        <v>41428</v>
      </c>
      <c r="B12" s="72">
        <v>30.81</v>
      </c>
      <c r="C12" s="72">
        <v>52.37</v>
      </c>
      <c r="D12" s="72">
        <v>39.590000000000003</v>
      </c>
      <c r="E12" s="72">
        <v>32.15</v>
      </c>
      <c r="F12" s="72">
        <v>28.88</v>
      </c>
      <c r="G12" s="72">
        <v>67.290000000000006</v>
      </c>
      <c r="H12" s="72">
        <v>28.14</v>
      </c>
      <c r="I12" s="72">
        <v>28.58</v>
      </c>
      <c r="J12" s="73">
        <v>4.6399999999999997</v>
      </c>
      <c r="K12" s="79"/>
      <c r="L12" s="79"/>
      <c r="M12" s="79"/>
      <c r="N12" s="79"/>
      <c r="O12" s="79"/>
      <c r="P12" s="79"/>
      <c r="Q12" s="79"/>
      <c r="R12" s="79"/>
      <c r="S12" s="79"/>
      <c r="T12" s="74"/>
    </row>
    <row r="13" spans="1:20" x14ac:dyDescent="0.3">
      <c r="A13" s="69">
        <v>41395</v>
      </c>
      <c r="B13" s="72">
        <v>34.25</v>
      </c>
      <c r="C13" s="72">
        <v>55.18</v>
      </c>
      <c r="D13" s="72">
        <v>39.229999999999997</v>
      </c>
      <c r="E13" s="72">
        <v>32.33</v>
      </c>
      <c r="F13" s="72">
        <v>28.22</v>
      </c>
      <c r="G13" s="72">
        <v>65.040000000000006</v>
      </c>
      <c r="H13" s="72">
        <v>27.71</v>
      </c>
      <c r="I13" s="72">
        <v>27.54</v>
      </c>
      <c r="J13" s="73">
        <v>4.6100000000000003</v>
      </c>
      <c r="K13" s="79"/>
      <c r="L13" s="79"/>
      <c r="M13" s="79"/>
      <c r="N13" s="79"/>
      <c r="O13" s="79"/>
      <c r="P13" s="79"/>
      <c r="Q13" s="79"/>
      <c r="R13" s="79"/>
      <c r="S13" s="79"/>
      <c r="T13" s="74"/>
    </row>
    <row r="14" spans="1:20" x14ac:dyDescent="0.3">
      <c r="A14" s="69">
        <v>41365</v>
      </c>
      <c r="B14" s="72">
        <v>32.11</v>
      </c>
      <c r="C14" s="72">
        <v>55.8</v>
      </c>
      <c r="D14" s="72">
        <v>43.36</v>
      </c>
      <c r="E14" s="72">
        <v>35.68</v>
      </c>
      <c r="F14" s="72">
        <v>32.07</v>
      </c>
      <c r="G14" s="72">
        <v>71.45</v>
      </c>
      <c r="H14" s="72">
        <v>32.07</v>
      </c>
      <c r="I14" s="72">
        <v>31.1</v>
      </c>
      <c r="J14" s="73">
        <v>4.84</v>
      </c>
      <c r="K14" s="79"/>
      <c r="L14" s="79"/>
      <c r="M14" s="79"/>
      <c r="N14" s="79"/>
      <c r="O14" s="79"/>
      <c r="P14" s="79"/>
      <c r="Q14" s="79"/>
      <c r="R14" s="79"/>
      <c r="S14" s="79"/>
      <c r="T14" s="74"/>
    </row>
    <row r="15" spans="1:20" x14ac:dyDescent="0.3">
      <c r="A15" s="69">
        <v>41334</v>
      </c>
      <c r="B15" s="72">
        <v>32.17</v>
      </c>
      <c r="C15" s="72">
        <v>57.2</v>
      </c>
      <c r="D15" s="72">
        <v>40.19</v>
      </c>
      <c r="E15" s="72">
        <v>33.11</v>
      </c>
      <c r="F15" s="72">
        <v>29.09</v>
      </c>
      <c r="G15" s="72">
        <v>66.150000000000006</v>
      </c>
      <c r="H15" s="72">
        <v>29.19</v>
      </c>
      <c r="I15" s="72">
        <v>27.87</v>
      </c>
      <c r="J15" s="73">
        <v>4.3899999999999997</v>
      </c>
      <c r="K15" s="79"/>
      <c r="L15" s="79"/>
      <c r="M15" s="79"/>
      <c r="N15" s="79"/>
      <c r="O15" s="79"/>
      <c r="P15" s="79"/>
      <c r="Q15" s="79"/>
      <c r="R15" s="79"/>
      <c r="S15" s="79"/>
      <c r="T15" s="74"/>
    </row>
    <row r="16" spans="1:20" x14ac:dyDescent="0.3">
      <c r="A16" s="69">
        <v>41306</v>
      </c>
      <c r="B16" s="72">
        <v>35.840000000000003</v>
      </c>
      <c r="C16" s="72">
        <v>66.08</v>
      </c>
      <c r="D16" s="72">
        <v>41.02</v>
      </c>
      <c r="E16" s="72">
        <v>33.64</v>
      </c>
      <c r="F16" s="72">
        <v>28.49</v>
      </c>
      <c r="G16" s="72">
        <v>65.430000000000007</v>
      </c>
      <c r="H16" s="72">
        <v>29.2</v>
      </c>
      <c r="I16" s="72">
        <v>28.05</v>
      </c>
      <c r="J16" s="73">
        <v>4.46</v>
      </c>
      <c r="K16" s="79"/>
      <c r="L16" s="79"/>
      <c r="M16" s="79"/>
      <c r="N16" s="79"/>
      <c r="O16" s="79"/>
      <c r="P16" s="79"/>
      <c r="Q16" s="79"/>
      <c r="R16" s="79"/>
      <c r="S16" s="79"/>
      <c r="T16" s="74"/>
    </row>
    <row r="17" spans="1:30" x14ac:dyDescent="0.3">
      <c r="A17" s="69">
        <v>41275</v>
      </c>
      <c r="B17" s="72">
        <v>36.24</v>
      </c>
      <c r="C17" s="72">
        <v>65.400000000000006</v>
      </c>
      <c r="D17" s="72">
        <v>36.880000000000003</v>
      </c>
      <c r="E17" s="72">
        <v>30.08</v>
      </c>
      <c r="F17" s="72">
        <v>25.81</v>
      </c>
      <c r="G17" s="72">
        <v>61.16</v>
      </c>
      <c r="H17" s="72">
        <v>26.61</v>
      </c>
      <c r="I17" s="72">
        <v>25.96</v>
      </c>
      <c r="J17" s="73">
        <v>4.34</v>
      </c>
      <c r="K17" s="79"/>
      <c r="L17" s="79"/>
      <c r="M17" s="79"/>
      <c r="N17" s="79"/>
      <c r="O17" s="79"/>
      <c r="P17" s="79"/>
      <c r="Q17" s="79"/>
      <c r="R17" s="79"/>
      <c r="S17" s="79"/>
      <c r="T17" s="74"/>
    </row>
    <row r="18" spans="1:30" x14ac:dyDescent="0.3">
      <c r="A18" s="69">
        <v>41246</v>
      </c>
      <c r="B18" s="72">
        <v>35.869999999999997</v>
      </c>
      <c r="C18" s="72">
        <v>65.06</v>
      </c>
      <c r="D18" s="72">
        <v>36.14</v>
      </c>
      <c r="E18" s="72">
        <v>28.24</v>
      </c>
      <c r="F18" s="72">
        <v>23.58</v>
      </c>
      <c r="G18" s="72">
        <v>59</v>
      </c>
      <c r="H18" s="72">
        <v>24.71</v>
      </c>
      <c r="I18" s="72">
        <v>24.47</v>
      </c>
      <c r="J18" s="73">
        <v>4.12</v>
      </c>
      <c r="K18" s="79"/>
      <c r="L18" s="79"/>
      <c r="M18" s="79"/>
      <c r="N18" s="79"/>
      <c r="O18" s="79"/>
      <c r="P18" s="79"/>
      <c r="Q18" s="79"/>
      <c r="R18" s="79"/>
      <c r="S18" s="79"/>
      <c r="T18" s="74"/>
    </row>
    <row r="19" spans="1:30" x14ac:dyDescent="0.3">
      <c r="A19" s="69">
        <v>41214</v>
      </c>
      <c r="B19" s="72">
        <v>33.25</v>
      </c>
      <c r="C19" s="72">
        <v>57.9</v>
      </c>
      <c r="D19" s="72">
        <v>34.869999999999997</v>
      </c>
      <c r="E19" s="72">
        <v>28.2</v>
      </c>
      <c r="F19" s="72">
        <v>22.92</v>
      </c>
      <c r="G19" s="72">
        <v>56.64</v>
      </c>
      <c r="H19" s="72">
        <v>24.2</v>
      </c>
      <c r="I19" s="72">
        <v>23.79</v>
      </c>
      <c r="J19" s="73">
        <v>4.0599999999999996</v>
      </c>
      <c r="K19" s="79"/>
      <c r="L19" s="79"/>
      <c r="M19" s="79"/>
      <c r="N19" s="79"/>
      <c r="O19" s="79"/>
      <c r="P19" s="79"/>
      <c r="Q19" s="79"/>
      <c r="R19" s="79"/>
      <c r="S19" s="79"/>
      <c r="T19" s="74"/>
    </row>
    <row r="20" spans="1:30" x14ac:dyDescent="0.3">
      <c r="A20" s="69">
        <v>41183</v>
      </c>
      <c r="B20" s="72">
        <v>33.11</v>
      </c>
      <c r="C20" s="72">
        <v>56.12</v>
      </c>
      <c r="D20" s="72">
        <v>34.1</v>
      </c>
      <c r="E20" s="72">
        <v>28.04</v>
      </c>
      <c r="F20" s="72">
        <v>23.45</v>
      </c>
      <c r="G20" s="72">
        <v>54.8</v>
      </c>
      <c r="H20" s="72">
        <v>23.42</v>
      </c>
      <c r="I20" s="72">
        <v>24.09</v>
      </c>
      <c r="J20" s="73">
        <v>3.9</v>
      </c>
      <c r="K20" s="79"/>
      <c r="L20" s="79"/>
      <c r="M20" s="79"/>
      <c r="N20" s="79"/>
      <c r="O20" s="79"/>
      <c r="P20" s="79"/>
      <c r="Q20" s="79"/>
      <c r="R20" s="79"/>
      <c r="S20" s="79"/>
      <c r="T20" s="74"/>
    </row>
    <row r="21" spans="1:30" x14ac:dyDescent="0.3">
      <c r="A21" s="69">
        <v>41155</v>
      </c>
      <c r="B21" s="72">
        <v>31.94</v>
      </c>
      <c r="C21" s="72">
        <v>52.59</v>
      </c>
      <c r="D21" s="72">
        <v>33.6</v>
      </c>
      <c r="E21" s="72">
        <v>27.42</v>
      </c>
      <c r="F21" s="72">
        <v>23.18</v>
      </c>
      <c r="G21" s="72">
        <v>52.92</v>
      </c>
      <c r="H21" s="72">
        <v>22.82</v>
      </c>
      <c r="I21" s="72">
        <v>23.43</v>
      </c>
      <c r="J21" s="73">
        <v>3.7</v>
      </c>
      <c r="K21" s="79"/>
      <c r="L21" s="79"/>
      <c r="M21" s="79"/>
      <c r="N21" s="79"/>
      <c r="O21" s="79"/>
      <c r="P21" s="79"/>
      <c r="Q21" s="79"/>
      <c r="R21" s="79"/>
      <c r="S21" s="79"/>
      <c r="T21" s="74"/>
    </row>
    <row r="22" spans="1:30" x14ac:dyDescent="0.3">
      <c r="A22" s="69">
        <v>41122</v>
      </c>
      <c r="B22" s="72">
        <v>30.2</v>
      </c>
      <c r="C22" s="72">
        <v>48.53</v>
      </c>
      <c r="D22" s="72">
        <v>33.86</v>
      </c>
      <c r="E22" s="72">
        <v>27.61</v>
      </c>
      <c r="F22" s="72">
        <v>22.92</v>
      </c>
      <c r="G22" s="72">
        <v>51.94</v>
      </c>
      <c r="H22" s="72">
        <v>22.74</v>
      </c>
      <c r="I22" s="72">
        <v>23.49</v>
      </c>
      <c r="J22" s="73">
        <v>3.63</v>
      </c>
      <c r="K22" s="79"/>
      <c r="L22" s="79"/>
      <c r="M22" s="79"/>
      <c r="N22" s="79"/>
      <c r="O22" s="79"/>
      <c r="P22" s="79"/>
      <c r="Q22" s="79"/>
      <c r="R22" s="79"/>
      <c r="S22" s="79"/>
      <c r="T22" s="74"/>
    </row>
    <row r="23" spans="1:30" x14ac:dyDescent="0.3">
      <c r="A23" s="69">
        <v>41092</v>
      </c>
      <c r="B23" s="72">
        <v>30.33</v>
      </c>
      <c r="C23" s="72">
        <v>51.8</v>
      </c>
      <c r="D23" s="72">
        <v>31.1</v>
      </c>
      <c r="E23" s="72">
        <v>26.63</v>
      </c>
      <c r="F23" s="72">
        <v>22.71</v>
      </c>
      <c r="G23" s="72">
        <v>52.72</v>
      </c>
      <c r="H23" s="72">
        <v>21.3</v>
      </c>
      <c r="I23" s="72">
        <v>22.28</v>
      </c>
      <c r="J23" s="73">
        <v>3.64</v>
      </c>
      <c r="K23" s="79"/>
      <c r="L23" s="79"/>
      <c r="M23" s="79"/>
      <c r="N23" s="79"/>
      <c r="O23" s="79"/>
      <c r="P23" s="79"/>
      <c r="Q23" s="79"/>
      <c r="R23" s="79"/>
      <c r="S23" s="79"/>
      <c r="T23" s="74"/>
    </row>
    <row r="24" spans="1:30" x14ac:dyDescent="0.3">
      <c r="A24" s="69">
        <v>41061</v>
      </c>
      <c r="B24" s="72">
        <v>29.88</v>
      </c>
      <c r="C24" s="72">
        <v>55.01</v>
      </c>
      <c r="D24" s="72">
        <v>28.53</v>
      </c>
      <c r="E24" s="72">
        <v>24.98</v>
      </c>
      <c r="F24" s="72">
        <v>21.4</v>
      </c>
      <c r="G24" s="72">
        <v>48.66</v>
      </c>
      <c r="H24" s="72">
        <v>19.399999999999999</v>
      </c>
      <c r="I24" s="72">
        <v>20.85</v>
      </c>
      <c r="J24" s="73">
        <v>3.36</v>
      </c>
      <c r="K24" s="79"/>
      <c r="L24" s="79"/>
      <c r="M24" s="79"/>
      <c r="N24" s="79"/>
      <c r="O24" s="79"/>
      <c r="P24" s="79"/>
      <c r="Q24" s="79"/>
      <c r="R24" s="79"/>
      <c r="S24" s="79"/>
      <c r="T24" s="74"/>
    </row>
    <row r="25" spans="1:30" x14ac:dyDescent="0.3">
      <c r="A25" s="69">
        <v>41030</v>
      </c>
      <c r="B25" s="72">
        <v>30.37</v>
      </c>
      <c r="C25" s="72">
        <v>55.36</v>
      </c>
      <c r="D25" s="72">
        <v>27.87</v>
      </c>
      <c r="E25" s="72">
        <v>24.64</v>
      </c>
      <c r="F25" s="72">
        <v>20.440000000000001</v>
      </c>
      <c r="G25" s="72">
        <v>45.27</v>
      </c>
      <c r="H25" s="72">
        <v>18.63</v>
      </c>
      <c r="I25" s="72">
        <v>19.78</v>
      </c>
      <c r="J25" s="73">
        <v>3.23</v>
      </c>
      <c r="K25" s="79"/>
      <c r="L25" s="79"/>
      <c r="M25" s="79"/>
      <c r="N25" s="79"/>
      <c r="O25" s="79"/>
      <c r="P25" s="79"/>
      <c r="Q25" s="79"/>
      <c r="R25" s="79"/>
      <c r="S25" s="79"/>
      <c r="T25" s="74"/>
    </row>
    <row r="26" spans="1:30" x14ac:dyDescent="0.3">
      <c r="A26" s="69">
        <v>41001</v>
      </c>
      <c r="B26" s="72">
        <v>33.770000000000003</v>
      </c>
      <c r="C26" s="72">
        <v>64.599999999999994</v>
      </c>
      <c r="D26" s="72">
        <v>28.9</v>
      </c>
      <c r="E26" s="72">
        <v>24.18</v>
      </c>
      <c r="F26" s="72">
        <v>22.07</v>
      </c>
      <c r="G26" s="72">
        <v>47.62</v>
      </c>
      <c r="H26" s="72">
        <v>20.12</v>
      </c>
      <c r="I26" s="72">
        <v>21.99</v>
      </c>
      <c r="J26" s="73">
        <v>3.22</v>
      </c>
      <c r="K26" s="79"/>
      <c r="L26" s="79"/>
      <c r="M26" s="79"/>
      <c r="N26" s="79"/>
      <c r="O26" s="79"/>
      <c r="P26" s="79"/>
      <c r="Q26" s="79"/>
      <c r="R26" s="79"/>
      <c r="S26" s="79"/>
      <c r="T26" s="74"/>
    </row>
    <row r="27" spans="1:30" x14ac:dyDescent="0.3">
      <c r="A27" s="69">
        <v>40969</v>
      </c>
      <c r="B27" s="72">
        <v>32.880000000000003</v>
      </c>
      <c r="C27" s="72">
        <v>63.68</v>
      </c>
      <c r="D27" s="72">
        <v>28.65</v>
      </c>
      <c r="E27" s="72">
        <v>24.21</v>
      </c>
      <c r="F27" s="72">
        <v>21.52</v>
      </c>
      <c r="G27" s="72">
        <v>45.91</v>
      </c>
      <c r="H27" s="72">
        <v>19.37</v>
      </c>
      <c r="I27" s="72">
        <v>21.39</v>
      </c>
      <c r="J27" s="73">
        <v>2.99</v>
      </c>
      <c r="K27" s="79"/>
      <c r="L27" s="79"/>
      <c r="M27" s="79"/>
      <c r="N27" s="79"/>
      <c r="O27" s="79"/>
      <c r="P27" s="79"/>
      <c r="Q27" s="79"/>
      <c r="R27" s="79"/>
      <c r="S27" s="79"/>
      <c r="T27" s="74"/>
    </row>
    <row r="28" spans="1:30" x14ac:dyDescent="0.3">
      <c r="A28" s="69">
        <v>40940</v>
      </c>
      <c r="B28" s="72">
        <v>34.299999999999997</v>
      </c>
      <c r="C28" s="72">
        <v>65.67</v>
      </c>
      <c r="D28" s="72">
        <v>27.77</v>
      </c>
      <c r="E28" s="72">
        <v>23.04</v>
      </c>
      <c r="F28" s="72">
        <v>20.71</v>
      </c>
      <c r="G28" s="72">
        <v>45.29</v>
      </c>
      <c r="H28" s="72">
        <v>18.5</v>
      </c>
      <c r="I28" s="72">
        <v>20.18</v>
      </c>
      <c r="J28" s="73">
        <v>3</v>
      </c>
      <c r="K28" s="79"/>
      <c r="L28" s="79"/>
      <c r="M28" s="79"/>
      <c r="N28" s="79"/>
      <c r="O28" s="79"/>
      <c r="P28" s="79"/>
      <c r="Q28" s="79"/>
      <c r="R28" s="79"/>
      <c r="S28" s="79"/>
      <c r="T28" s="74"/>
    </row>
    <row r="29" spans="1:30" x14ac:dyDescent="0.3">
      <c r="A29" s="69">
        <v>40910</v>
      </c>
      <c r="B29" s="72">
        <v>35.11</v>
      </c>
      <c r="C29" s="72">
        <v>66.5</v>
      </c>
      <c r="D29" s="72">
        <v>28.25</v>
      </c>
      <c r="E29" s="72">
        <v>22.57</v>
      </c>
      <c r="F29" s="72">
        <v>20.87</v>
      </c>
      <c r="G29" s="72">
        <v>45.14</v>
      </c>
      <c r="H29" s="72">
        <v>18.72</v>
      </c>
      <c r="I29" s="72">
        <v>19.690000000000001</v>
      </c>
      <c r="J29" s="73">
        <v>2.9</v>
      </c>
      <c r="K29" s="79"/>
      <c r="L29" s="79"/>
      <c r="M29" s="79"/>
      <c r="N29" s="79"/>
      <c r="O29" s="79"/>
      <c r="P29" s="79"/>
      <c r="Q29" s="79"/>
      <c r="R29" s="79"/>
      <c r="S29" s="79"/>
      <c r="T29" s="74"/>
      <c r="V29"/>
      <c r="W29"/>
      <c r="X29"/>
      <c r="Y29"/>
      <c r="Z29"/>
      <c r="AA29"/>
      <c r="AB29"/>
      <c r="AC29"/>
      <c r="AD29"/>
    </row>
    <row r="30" spans="1:30" x14ac:dyDescent="0.3">
      <c r="A30" s="69">
        <v>40878</v>
      </c>
      <c r="B30" s="72">
        <v>32.24</v>
      </c>
      <c r="C30" s="72">
        <v>57.98</v>
      </c>
      <c r="D30" s="72">
        <v>27.5</v>
      </c>
      <c r="E30" s="72">
        <v>22.85</v>
      </c>
      <c r="F30" s="72">
        <v>20.440000000000001</v>
      </c>
      <c r="G30" s="72">
        <v>43.86</v>
      </c>
      <c r="H30" s="72">
        <v>17.7</v>
      </c>
      <c r="I30" s="72">
        <v>18.88</v>
      </c>
      <c r="J30" s="73">
        <v>2.9</v>
      </c>
      <c r="K30" s="79"/>
      <c r="L30" s="79"/>
      <c r="M30" s="79"/>
      <c r="N30" s="79"/>
      <c r="O30" s="79"/>
      <c r="P30" s="79"/>
      <c r="Q30" s="79"/>
      <c r="R30" s="79"/>
      <c r="S30" s="79"/>
      <c r="T30" s="74"/>
      <c r="V30"/>
      <c r="W30"/>
      <c r="X30"/>
      <c r="Y30"/>
      <c r="Z30"/>
      <c r="AA30"/>
      <c r="AB30"/>
      <c r="AC30"/>
      <c r="AD30"/>
    </row>
    <row r="31" spans="1:30" x14ac:dyDescent="0.3">
      <c r="A31" s="69">
        <v>40848</v>
      </c>
      <c r="B31" s="72">
        <v>32.71</v>
      </c>
      <c r="C31" s="72">
        <v>60.53</v>
      </c>
      <c r="D31" s="72">
        <v>28.42</v>
      </c>
      <c r="E31" s="72">
        <v>22.41</v>
      </c>
      <c r="F31" s="72">
        <v>20.48</v>
      </c>
      <c r="G31" s="72">
        <v>42.24</v>
      </c>
      <c r="H31" s="72">
        <v>18.2</v>
      </c>
      <c r="I31" s="72">
        <v>18.3</v>
      </c>
      <c r="J31" s="73">
        <v>2.76</v>
      </c>
      <c r="K31" s="79"/>
      <c r="L31" s="79"/>
      <c r="M31" s="79"/>
      <c r="N31" s="79"/>
      <c r="O31" s="79"/>
      <c r="P31" s="79"/>
      <c r="Q31" s="79"/>
      <c r="R31" s="79"/>
      <c r="S31" s="79"/>
      <c r="T31" s="74"/>
      <c r="V31"/>
      <c r="W31"/>
      <c r="X31"/>
      <c r="Y31"/>
      <c r="Z31"/>
      <c r="AA31"/>
      <c r="AB31"/>
      <c r="AC31"/>
      <c r="AD31"/>
    </row>
    <row r="32" spans="1:30" x14ac:dyDescent="0.3">
      <c r="A32" s="69">
        <v>40819</v>
      </c>
      <c r="B32" s="72">
        <v>35.409999999999997</v>
      </c>
      <c r="C32" s="72">
        <v>66.55</v>
      </c>
      <c r="D32" s="72">
        <v>30.26</v>
      </c>
      <c r="E32" s="72">
        <v>21.68</v>
      </c>
      <c r="F32" s="72">
        <v>21.72</v>
      </c>
      <c r="G32" s="72">
        <v>43.9</v>
      </c>
      <c r="H32" s="72">
        <v>19.04</v>
      </c>
      <c r="I32" s="72">
        <v>19.239999999999998</v>
      </c>
      <c r="J32" s="73">
        <v>2.7</v>
      </c>
      <c r="K32" s="79"/>
      <c r="L32" s="79"/>
      <c r="M32" s="79"/>
      <c r="N32" s="79"/>
      <c r="O32" s="79"/>
      <c r="P32" s="79"/>
      <c r="Q32" s="79"/>
      <c r="R32" s="79"/>
      <c r="S32" s="79"/>
      <c r="T32" s="74"/>
      <c r="V32"/>
      <c r="W32"/>
      <c r="X32"/>
      <c r="Y32"/>
      <c r="Z32"/>
      <c r="AA32"/>
      <c r="AB32"/>
      <c r="AC32"/>
      <c r="AD32"/>
    </row>
    <row r="33" spans="1:30" x14ac:dyDescent="0.3">
      <c r="A33" s="69">
        <v>40787</v>
      </c>
      <c r="B33" s="72">
        <v>32.81</v>
      </c>
      <c r="C33" s="72">
        <v>59.42</v>
      </c>
      <c r="D33" s="72">
        <v>29.45</v>
      </c>
      <c r="E33" s="72">
        <v>22.63</v>
      </c>
      <c r="F33" s="72">
        <v>18.899999999999999</v>
      </c>
      <c r="G33" s="72">
        <v>40.590000000000003</v>
      </c>
      <c r="H33" s="72">
        <v>17.350000000000001</v>
      </c>
      <c r="I33" s="72">
        <v>17.32</v>
      </c>
      <c r="J33" s="73">
        <v>2.7</v>
      </c>
      <c r="K33" s="79"/>
      <c r="L33" s="79"/>
      <c r="M33" s="79"/>
      <c r="N33" s="79"/>
      <c r="O33" s="79"/>
      <c r="P33" s="79"/>
      <c r="Q33" s="79"/>
      <c r="R33" s="79"/>
      <c r="S33" s="79"/>
      <c r="T33" s="74"/>
      <c r="V33"/>
      <c r="W33"/>
      <c r="X33"/>
      <c r="Y33"/>
      <c r="Z33"/>
      <c r="AA33"/>
      <c r="AB33"/>
      <c r="AC33"/>
      <c r="AD33"/>
    </row>
    <row r="34" spans="1:30" x14ac:dyDescent="0.3">
      <c r="A34" s="69">
        <v>40756</v>
      </c>
      <c r="B34" s="72">
        <v>36.729999999999997</v>
      </c>
      <c r="C34" s="72">
        <v>69.73</v>
      </c>
      <c r="D34" s="72">
        <v>28.66</v>
      </c>
      <c r="E34" s="72">
        <v>22.37</v>
      </c>
      <c r="F34" s="72">
        <v>20.04</v>
      </c>
      <c r="G34" s="72">
        <v>42.97</v>
      </c>
      <c r="H34" s="72">
        <v>17.57</v>
      </c>
      <c r="I34" s="72">
        <v>18.010000000000002</v>
      </c>
      <c r="J34" s="73">
        <v>2.64</v>
      </c>
      <c r="K34" s="79"/>
      <c r="L34" s="79"/>
      <c r="M34" s="79"/>
      <c r="N34" s="79"/>
      <c r="O34" s="79"/>
      <c r="P34" s="79"/>
      <c r="Q34" s="79"/>
      <c r="R34" s="79"/>
      <c r="S34" s="79"/>
      <c r="T34" s="74"/>
      <c r="V34"/>
      <c r="W34"/>
      <c r="X34"/>
      <c r="Y34"/>
      <c r="Z34"/>
      <c r="AA34"/>
      <c r="AB34"/>
      <c r="AC34"/>
      <c r="AD34"/>
    </row>
    <row r="35" spans="1:30" x14ac:dyDescent="0.3">
      <c r="A35" s="69">
        <v>40725</v>
      </c>
      <c r="B35" s="72">
        <v>38.28</v>
      </c>
      <c r="C35" s="72">
        <v>76.37</v>
      </c>
      <c r="D35" s="72">
        <v>26.56</v>
      </c>
      <c r="E35" s="72">
        <v>23.89</v>
      </c>
      <c r="F35" s="72">
        <v>20.28</v>
      </c>
      <c r="G35" s="72">
        <v>42.2</v>
      </c>
      <c r="H35" s="72">
        <v>17.420000000000002</v>
      </c>
      <c r="I35" s="72">
        <v>18.48</v>
      </c>
      <c r="J35" s="73">
        <v>2.4900000000000002</v>
      </c>
      <c r="K35" s="79"/>
      <c r="L35" s="79"/>
      <c r="M35" s="79"/>
      <c r="N35" s="79"/>
      <c r="O35" s="79"/>
      <c r="P35" s="79"/>
      <c r="Q35" s="79"/>
      <c r="R35" s="79"/>
      <c r="S35" s="79"/>
      <c r="T35" s="74"/>
      <c r="V35"/>
      <c r="W35"/>
      <c r="X35"/>
      <c r="Y35"/>
      <c r="Z35"/>
      <c r="AA35"/>
      <c r="AB35"/>
      <c r="AC35"/>
      <c r="AD35"/>
    </row>
    <row r="36" spans="1:30" x14ac:dyDescent="0.3">
      <c r="A36" s="69">
        <v>40695</v>
      </c>
      <c r="B36" s="72">
        <v>40.479999999999997</v>
      </c>
      <c r="C36" s="72">
        <v>79.23</v>
      </c>
      <c r="D36" s="72">
        <v>28.85</v>
      </c>
      <c r="E36" s="72">
        <v>24.61</v>
      </c>
      <c r="F36" s="72">
        <v>21.65</v>
      </c>
      <c r="G36" s="72">
        <v>44.8</v>
      </c>
      <c r="H36" s="72">
        <v>18.989999999999998</v>
      </c>
      <c r="I36" s="72">
        <v>19.52</v>
      </c>
      <c r="J36" s="73">
        <v>2.41</v>
      </c>
      <c r="K36" s="79"/>
      <c r="L36" s="79"/>
      <c r="M36" s="79"/>
      <c r="N36" s="79"/>
      <c r="O36" s="79"/>
      <c r="P36" s="79"/>
      <c r="Q36" s="79"/>
      <c r="R36" s="79"/>
      <c r="S36" s="79"/>
      <c r="T36" s="74"/>
      <c r="V36"/>
      <c r="W36"/>
      <c r="X36"/>
      <c r="Y36"/>
      <c r="Z36"/>
      <c r="AA36"/>
      <c r="AB36"/>
      <c r="AC36"/>
      <c r="AD36"/>
    </row>
    <row r="37" spans="1:30" x14ac:dyDescent="0.3">
      <c r="A37" s="69">
        <v>40665</v>
      </c>
      <c r="B37" s="72">
        <v>41</v>
      </c>
      <c r="C37" s="72">
        <v>77.81</v>
      </c>
      <c r="D37" s="72">
        <v>30.07</v>
      </c>
      <c r="E37" s="72">
        <v>24.31</v>
      </c>
      <c r="F37" s="72">
        <v>21.65</v>
      </c>
      <c r="G37" s="72">
        <v>43.36</v>
      </c>
      <c r="H37" s="72">
        <v>18.88</v>
      </c>
      <c r="I37" s="72">
        <v>19.64</v>
      </c>
      <c r="J37" s="73">
        <v>2.5099999999999998</v>
      </c>
      <c r="K37" s="79"/>
      <c r="L37" s="79"/>
      <c r="M37" s="79"/>
      <c r="N37" s="79"/>
      <c r="O37" s="79"/>
      <c r="P37" s="79"/>
      <c r="Q37" s="79"/>
      <c r="R37" s="79"/>
      <c r="S37" s="79"/>
      <c r="T37" s="74"/>
      <c r="V37"/>
      <c r="W37"/>
      <c r="X37"/>
      <c r="Y37"/>
      <c r="Z37"/>
      <c r="AA37"/>
      <c r="AB37"/>
      <c r="AC37"/>
      <c r="AD37"/>
    </row>
    <row r="38" spans="1:30" x14ac:dyDescent="0.3">
      <c r="A38" s="69">
        <v>40634</v>
      </c>
      <c r="B38" s="72">
        <v>42.35</v>
      </c>
      <c r="C38" s="72">
        <v>78.48</v>
      </c>
      <c r="D38" s="72">
        <v>30.16</v>
      </c>
      <c r="E38" s="72">
        <v>23.51</v>
      </c>
      <c r="F38" s="72">
        <v>22.14</v>
      </c>
      <c r="G38" s="72">
        <v>46.01</v>
      </c>
      <c r="H38" s="72">
        <v>20.51</v>
      </c>
      <c r="I38" s="72">
        <v>20.91</v>
      </c>
      <c r="J38" s="73">
        <v>2.42</v>
      </c>
      <c r="K38" s="79"/>
      <c r="L38" s="79"/>
      <c r="M38" s="79"/>
      <c r="N38" s="79"/>
      <c r="O38" s="79"/>
      <c r="P38" s="79"/>
      <c r="Q38" s="79"/>
      <c r="R38" s="79"/>
      <c r="S38" s="79"/>
      <c r="T38" s="74"/>
      <c r="V38"/>
      <c r="W38"/>
      <c r="X38"/>
      <c r="Y38"/>
      <c r="Z38"/>
      <c r="AA38"/>
      <c r="AB38"/>
      <c r="AC38"/>
    </row>
    <row r="39" spans="1:30" x14ac:dyDescent="0.3">
      <c r="A39" s="69">
        <v>40603</v>
      </c>
      <c r="B39" s="72">
        <v>43.03</v>
      </c>
      <c r="C39" s="72">
        <v>80.91</v>
      </c>
      <c r="D39" s="72">
        <v>28.79</v>
      </c>
      <c r="E39" s="72">
        <v>23.84</v>
      </c>
      <c r="F39" s="72">
        <v>21.14</v>
      </c>
      <c r="G39" s="72">
        <v>44.88</v>
      </c>
      <c r="H39" s="72">
        <v>20.09</v>
      </c>
      <c r="I39" s="72">
        <v>20.55</v>
      </c>
      <c r="J39" s="73">
        <v>2.35</v>
      </c>
      <c r="K39" s="79"/>
      <c r="L39" s="79"/>
      <c r="M39" s="79"/>
      <c r="N39" s="79"/>
      <c r="O39" s="79"/>
      <c r="P39" s="79"/>
      <c r="Q39" s="79"/>
      <c r="R39" s="79"/>
      <c r="S39" s="79"/>
      <c r="T39" s="74"/>
      <c r="V39"/>
      <c r="W39"/>
      <c r="X39"/>
      <c r="Y39"/>
      <c r="Z39"/>
      <c r="AA39"/>
      <c r="AB39"/>
      <c r="AC39"/>
      <c r="AD39"/>
    </row>
    <row r="40" spans="1:30" x14ac:dyDescent="0.3">
      <c r="A40" s="69">
        <v>40575</v>
      </c>
      <c r="B40" s="72">
        <v>42.2</v>
      </c>
      <c r="C40" s="72">
        <v>80.489999999999995</v>
      </c>
      <c r="D40" s="72">
        <v>30.01</v>
      </c>
      <c r="E40" s="72">
        <v>23.32</v>
      </c>
      <c r="F40" s="72">
        <v>21.1</v>
      </c>
      <c r="G40" s="72">
        <v>45.49</v>
      </c>
      <c r="H40" s="72">
        <v>19.43</v>
      </c>
      <c r="I40" s="72">
        <v>20.82</v>
      </c>
      <c r="J40" s="73">
        <v>2.3199999999999998</v>
      </c>
      <c r="K40" s="79"/>
      <c r="L40" s="79"/>
      <c r="M40" s="79"/>
      <c r="N40" s="79"/>
      <c r="O40" s="79"/>
      <c r="P40" s="79"/>
      <c r="Q40" s="79"/>
      <c r="R40" s="79"/>
      <c r="S40" s="79"/>
      <c r="T40" s="74"/>
      <c r="V40"/>
      <c r="W40"/>
      <c r="X40"/>
      <c r="Y40"/>
      <c r="Z40"/>
      <c r="AA40"/>
      <c r="AB40"/>
      <c r="AC40"/>
      <c r="AD40"/>
    </row>
    <row r="41" spans="1:30" x14ac:dyDescent="0.3">
      <c r="A41" s="69">
        <v>40546</v>
      </c>
      <c r="B41" s="72">
        <v>40.5</v>
      </c>
      <c r="C41" s="72">
        <v>79.66</v>
      </c>
      <c r="D41" s="72">
        <v>30.25</v>
      </c>
      <c r="E41" s="72">
        <v>23.15</v>
      </c>
      <c r="F41" s="72">
        <v>20.16</v>
      </c>
      <c r="G41" s="72">
        <v>43.83</v>
      </c>
      <c r="H41" s="72">
        <v>19</v>
      </c>
      <c r="I41" s="72">
        <v>20.420000000000002</v>
      </c>
      <c r="J41" s="73">
        <v>2.2200000000000002</v>
      </c>
      <c r="K41" s="79"/>
      <c r="L41" s="79"/>
      <c r="M41" s="79"/>
      <c r="N41" s="79"/>
      <c r="O41" s="79"/>
      <c r="P41" s="79"/>
      <c r="Q41" s="79"/>
      <c r="R41" s="79"/>
      <c r="S41" s="79"/>
      <c r="T41" s="74"/>
      <c r="V41"/>
      <c r="W41"/>
      <c r="X41"/>
      <c r="Y41"/>
      <c r="Z41"/>
      <c r="AA41"/>
      <c r="AB41"/>
      <c r="AC41"/>
      <c r="AD41"/>
    </row>
    <row r="42" spans="1:30" x14ac:dyDescent="0.3">
      <c r="A42" s="69">
        <v>40513</v>
      </c>
      <c r="B42" s="72">
        <v>41.41</v>
      </c>
      <c r="C42" s="72">
        <v>81</v>
      </c>
      <c r="D42" s="72">
        <v>28.44</v>
      </c>
      <c r="E42" s="72">
        <v>23.4</v>
      </c>
      <c r="F42" s="72">
        <v>19.38</v>
      </c>
      <c r="G42" s="72">
        <v>42.45</v>
      </c>
      <c r="H42" s="72">
        <v>18.34</v>
      </c>
      <c r="I42" s="72">
        <v>20.149999999999999</v>
      </c>
      <c r="J42" s="73">
        <v>2.21</v>
      </c>
      <c r="K42" s="79"/>
      <c r="L42" s="79"/>
      <c r="M42" s="79"/>
      <c r="N42" s="79"/>
      <c r="O42" s="79"/>
      <c r="P42" s="79"/>
      <c r="Q42" s="79"/>
      <c r="R42" s="79"/>
      <c r="S42" s="79"/>
      <c r="T42" s="74"/>
      <c r="V42"/>
      <c r="W42"/>
      <c r="X42"/>
      <c r="Y42"/>
      <c r="Z42"/>
      <c r="AA42"/>
      <c r="AB42"/>
      <c r="AC42"/>
      <c r="AD42"/>
    </row>
    <row r="43" spans="1:30" x14ac:dyDescent="0.3">
      <c r="A43" s="69">
        <v>40483</v>
      </c>
      <c r="B43" s="72">
        <v>39.119999999999997</v>
      </c>
      <c r="C43" s="72">
        <v>77.91</v>
      </c>
      <c r="D43" s="72">
        <v>27.96</v>
      </c>
      <c r="E43" s="72">
        <v>23.33</v>
      </c>
      <c r="F43" s="72">
        <v>19.170000000000002</v>
      </c>
      <c r="G43" s="72">
        <v>40.479999999999997</v>
      </c>
      <c r="H43" s="72">
        <v>17.690000000000001</v>
      </c>
      <c r="I43" s="72">
        <v>19.55</v>
      </c>
      <c r="J43" s="73">
        <v>2.23</v>
      </c>
      <c r="K43" s="79"/>
      <c r="L43" s="79"/>
      <c r="M43" s="79"/>
      <c r="N43" s="79"/>
      <c r="O43" s="79"/>
      <c r="P43" s="79"/>
      <c r="Q43" s="79"/>
      <c r="R43" s="79"/>
      <c r="S43" s="79"/>
      <c r="T43" s="74"/>
      <c r="V43"/>
      <c r="W43"/>
      <c r="X43"/>
      <c r="Y43"/>
      <c r="Z43"/>
      <c r="AA43"/>
      <c r="AB43"/>
      <c r="AC43"/>
      <c r="AD43"/>
    </row>
    <row r="44" spans="1:30" x14ac:dyDescent="0.3">
      <c r="A44" s="69">
        <v>40452</v>
      </c>
      <c r="B44" s="72">
        <v>38.36</v>
      </c>
      <c r="C44" s="72">
        <v>78.37</v>
      </c>
      <c r="D44" s="72">
        <v>29.45</v>
      </c>
      <c r="E44" s="72">
        <v>24.59</v>
      </c>
      <c r="F44" s="72">
        <v>20.18</v>
      </c>
      <c r="G44" s="72">
        <v>40.880000000000003</v>
      </c>
      <c r="H44" s="72">
        <v>18.149999999999999</v>
      </c>
      <c r="I44" s="72">
        <v>20.78</v>
      </c>
      <c r="J44" s="73">
        <v>2.12</v>
      </c>
      <c r="K44" s="79"/>
      <c r="L44" s="79"/>
      <c r="M44" s="79"/>
      <c r="N44" s="79"/>
      <c r="O44" s="79"/>
      <c r="P44" s="79"/>
      <c r="Q44" s="79"/>
      <c r="R44" s="79"/>
      <c r="S44" s="79"/>
      <c r="T44" s="74"/>
      <c r="V44"/>
      <c r="W44"/>
      <c r="X44"/>
      <c r="Y44"/>
      <c r="Z44"/>
      <c r="AA44"/>
      <c r="AB44"/>
      <c r="AC44"/>
      <c r="AD44"/>
    </row>
    <row r="45" spans="1:30" x14ac:dyDescent="0.3">
      <c r="A45" s="69">
        <v>40422</v>
      </c>
      <c r="B45" s="72">
        <v>35.61</v>
      </c>
      <c r="C45" s="72">
        <v>72.760000000000005</v>
      </c>
      <c r="D45" s="72">
        <v>29.23</v>
      </c>
      <c r="E45" s="72">
        <v>25.02</v>
      </c>
      <c r="F45" s="72">
        <v>20.09</v>
      </c>
      <c r="G45" s="72">
        <v>42.78</v>
      </c>
      <c r="H45" s="72">
        <v>18.579999999999998</v>
      </c>
      <c r="I45" s="72">
        <v>19.829999999999998</v>
      </c>
      <c r="J45" s="73">
        <v>2.08</v>
      </c>
      <c r="K45" s="79"/>
      <c r="L45" s="79"/>
      <c r="M45" s="79"/>
      <c r="N45" s="79"/>
      <c r="O45" s="79"/>
      <c r="P45" s="79"/>
      <c r="Q45" s="79"/>
      <c r="R45" s="79"/>
      <c r="S45" s="79"/>
      <c r="T45" s="74"/>
      <c r="V45"/>
      <c r="W45"/>
      <c r="X45"/>
      <c r="Y45"/>
      <c r="Z45"/>
      <c r="AA45"/>
      <c r="AB45"/>
      <c r="AC45"/>
      <c r="AD45"/>
    </row>
    <row r="46" spans="1:30" x14ac:dyDescent="0.3">
      <c r="A46" s="69">
        <v>40392</v>
      </c>
      <c r="B46" s="72">
        <v>33.479999999999997</v>
      </c>
      <c r="C46" s="72">
        <v>66.430000000000007</v>
      </c>
      <c r="D46" s="72">
        <v>28.41</v>
      </c>
      <c r="E46" s="72">
        <v>23.56</v>
      </c>
      <c r="F46" s="72">
        <v>18.39</v>
      </c>
      <c r="G46" s="72">
        <v>42.05</v>
      </c>
      <c r="H46" s="72">
        <v>17.350000000000001</v>
      </c>
      <c r="I46" s="72">
        <v>18.920000000000002</v>
      </c>
      <c r="J46" s="73">
        <v>2.1800000000000002</v>
      </c>
      <c r="K46" s="79"/>
      <c r="L46" s="79"/>
      <c r="M46" s="79"/>
      <c r="N46" s="79"/>
      <c r="O46" s="79"/>
      <c r="P46" s="79"/>
      <c r="Q46" s="79"/>
      <c r="R46" s="79"/>
      <c r="S46" s="79"/>
      <c r="T46" s="74"/>
      <c r="V46"/>
      <c r="W46"/>
      <c r="X46"/>
      <c r="Y46"/>
      <c r="Z46"/>
      <c r="AA46"/>
      <c r="AB46"/>
      <c r="AC46"/>
      <c r="AD46"/>
    </row>
    <row r="47" spans="1:30" x14ac:dyDescent="0.3">
      <c r="A47" s="69">
        <v>40360</v>
      </c>
      <c r="B47" s="72">
        <v>36.25</v>
      </c>
      <c r="C47" s="72">
        <v>66.47</v>
      </c>
      <c r="D47" s="72">
        <v>27.03</v>
      </c>
      <c r="E47" s="72">
        <v>21.89</v>
      </c>
      <c r="F47" s="72">
        <v>19.920000000000002</v>
      </c>
      <c r="G47" s="72">
        <v>42.49</v>
      </c>
      <c r="H47" s="72">
        <v>19.18</v>
      </c>
      <c r="I47" s="72">
        <v>19.309999999999999</v>
      </c>
      <c r="J47" s="73">
        <v>2.4300000000000002</v>
      </c>
      <c r="K47" s="79"/>
      <c r="L47" s="79"/>
      <c r="M47" s="79"/>
      <c r="N47" s="79"/>
      <c r="O47" s="79"/>
      <c r="P47" s="79"/>
      <c r="Q47" s="79"/>
      <c r="R47" s="79"/>
      <c r="S47" s="79"/>
      <c r="T47" s="74"/>
      <c r="V47"/>
      <c r="W47"/>
      <c r="X47"/>
      <c r="Y47"/>
      <c r="Z47"/>
      <c r="AA47"/>
      <c r="AB47"/>
      <c r="AC47"/>
      <c r="AD47"/>
    </row>
    <row r="48" spans="1:30" x14ac:dyDescent="0.3">
      <c r="A48" s="69">
        <v>40330</v>
      </c>
      <c r="B48" s="72">
        <v>34.020000000000003</v>
      </c>
      <c r="C48" s="72">
        <v>62.75</v>
      </c>
      <c r="D48" s="72">
        <v>24.91</v>
      </c>
      <c r="E48" s="72">
        <v>22.93</v>
      </c>
      <c r="F48" s="72">
        <v>18.45</v>
      </c>
      <c r="G48" s="72">
        <v>39.32</v>
      </c>
      <c r="H48" s="72">
        <v>16.97</v>
      </c>
      <c r="I48" s="72">
        <v>18.100000000000001</v>
      </c>
      <c r="J48" s="73">
        <v>2.4500000000000002</v>
      </c>
      <c r="K48" s="79"/>
      <c r="L48" s="79"/>
      <c r="M48" s="79"/>
      <c r="N48" s="79"/>
      <c r="O48" s="79"/>
      <c r="P48" s="79"/>
      <c r="Q48" s="79"/>
      <c r="R48" s="79"/>
      <c r="S48" s="79"/>
      <c r="T48" s="74"/>
    </row>
    <row r="49" spans="1:21" x14ac:dyDescent="0.3">
      <c r="A49" s="69">
        <v>40301</v>
      </c>
      <c r="B49" s="72">
        <v>34.549999999999997</v>
      </c>
      <c r="C49" s="72">
        <v>63.2</v>
      </c>
      <c r="D49" s="72">
        <v>25.3</v>
      </c>
      <c r="E49" s="72">
        <v>22.62</v>
      </c>
      <c r="F49" s="72">
        <v>18.95</v>
      </c>
      <c r="G49" s="72">
        <v>41.53</v>
      </c>
      <c r="H49" s="72">
        <v>18.350000000000001</v>
      </c>
      <c r="I49" s="72">
        <v>18.690000000000001</v>
      </c>
      <c r="J49" s="73">
        <v>2.2200000000000002</v>
      </c>
      <c r="K49" s="79"/>
      <c r="L49" s="79"/>
      <c r="M49" s="79"/>
      <c r="N49" s="79"/>
      <c r="O49" s="79"/>
      <c r="P49" s="79"/>
      <c r="Q49" s="79"/>
      <c r="R49" s="79"/>
      <c r="S49" s="79"/>
      <c r="T49" s="74"/>
    </row>
    <row r="50" spans="1:21" x14ac:dyDescent="0.3">
      <c r="A50" s="69">
        <v>40269</v>
      </c>
      <c r="B50" s="72">
        <v>36.82</v>
      </c>
      <c r="C50" s="72">
        <v>67.87</v>
      </c>
      <c r="D50" s="72">
        <v>25.46</v>
      </c>
      <c r="E50" s="72">
        <v>23</v>
      </c>
      <c r="F50" s="72">
        <v>21.54</v>
      </c>
      <c r="G50" s="72">
        <v>47.3</v>
      </c>
      <c r="H50" s="72">
        <v>21.18</v>
      </c>
      <c r="I50" s="72">
        <v>19.829999999999998</v>
      </c>
      <c r="J50" s="73">
        <v>2.4</v>
      </c>
      <c r="K50" s="79"/>
      <c r="L50" s="79"/>
      <c r="M50" s="79"/>
      <c r="N50" s="79"/>
      <c r="O50" s="79"/>
      <c r="P50" s="79"/>
      <c r="Q50" s="79"/>
      <c r="R50" s="79"/>
      <c r="S50" s="79"/>
      <c r="T50" s="74"/>
    </row>
    <row r="51" spans="1:21" x14ac:dyDescent="0.3">
      <c r="A51" s="69">
        <v>40238</v>
      </c>
      <c r="B51" s="72">
        <v>39.39</v>
      </c>
      <c r="C51" s="72">
        <v>73.8</v>
      </c>
      <c r="D51" s="72">
        <v>27.64</v>
      </c>
      <c r="E51" s="72">
        <v>23.76</v>
      </c>
      <c r="F51" s="72">
        <v>21.17</v>
      </c>
      <c r="G51" s="72">
        <v>45.51</v>
      </c>
      <c r="H51" s="72">
        <v>21.68</v>
      </c>
      <c r="I51" s="72">
        <v>20.78</v>
      </c>
      <c r="J51" s="73">
        <v>2.2599999999999998</v>
      </c>
      <c r="K51" s="79"/>
      <c r="L51" s="79"/>
      <c r="M51" s="79"/>
      <c r="N51" s="79"/>
      <c r="O51" s="79"/>
      <c r="P51" s="79"/>
      <c r="Q51" s="79"/>
      <c r="R51" s="79"/>
      <c r="S51" s="79"/>
      <c r="T51" s="74"/>
    </row>
    <row r="52" spans="1:21" x14ac:dyDescent="0.3">
      <c r="A52" s="69">
        <v>40210</v>
      </c>
      <c r="B52" s="72">
        <v>36.72</v>
      </c>
      <c r="C52" s="72">
        <v>66.36</v>
      </c>
      <c r="D52" s="72">
        <v>27.06</v>
      </c>
      <c r="E52" s="72">
        <v>22.35</v>
      </c>
      <c r="F52" s="72">
        <v>19.57</v>
      </c>
      <c r="G52" s="72">
        <v>43.59</v>
      </c>
      <c r="H52" s="72">
        <v>20.34</v>
      </c>
      <c r="I52" s="72">
        <v>18.96</v>
      </c>
      <c r="J52" s="73">
        <v>2.2400000000000002</v>
      </c>
      <c r="K52" s="79"/>
      <c r="L52" s="79"/>
      <c r="M52" s="79"/>
      <c r="N52" s="79"/>
      <c r="O52" s="79"/>
      <c r="P52" s="79"/>
      <c r="Q52" s="79"/>
      <c r="R52" s="79"/>
      <c r="S52" s="79"/>
      <c r="T52" s="74"/>
    </row>
    <row r="53" spans="1:21" x14ac:dyDescent="0.3">
      <c r="A53" s="69">
        <v>40182</v>
      </c>
      <c r="B53" s="72">
        <v>35.200000000000003</v>
      </c>
      <c r="C53" s="72">
        <v>63.55</v>
      </c>
      <c r="D53" s="72">
        <v>23.52</v>
      </c>
      <c r="E53" s="72">
        <v>21.54</v>
      </c>
      <c r="F53" s="72">
        <v>20.29</v>
      </c>
      <c r="G53" s="72">
        <v>42.05</v>
      </c>
      <c r="H53" s="72">
        <v>18.579999999999998</v>
      </c>
      <c r="I53" s="72">
        <v>17.809999999999999</v>
      </c>
      <c r="J53" s="72">
        <v>2.41</v>
      </c>
      <c r="K53" s="74"/>
      <c r="L53" s="74"/>
      <c r="M53" s="74"/>
      <c r="N53" s="74"/>
      <c r="O53" s="74"/>
      <c r="P53" s="74"/>
      <c r="Q53" s="74"/>
      <c r="R53" s="74"/>
      <c r="S53" s="74"/>
      <c r="T53" s="74"/>
    </row>
    <row r="54" spans="1:21" ht="14.4" thickBot="1" x14ac:dyDescent="0.35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74"/>
      <c r="L54" s="74"/>
      <c r="M54" s="74"/>
      <c r="N54" s="74"/>
      <c r="O54" s="74"/>
      <c r="P54" s="74"/>
      <c r="Q54" s="74"/>
      <c r="R54" s="74"/>
      <c r="S54" s="74"/>
      <c r="T54" s="74"/>
    </row>
    <row r="55" spans="1:21" ht="16.2" thickBot="1" x14ac:dyDescent="0.35">
      <c r="K55" s="82" t="s">
        <v>81</v>
      </c>
      <c r="L55" s="83" t="s">
        <v>82</v>
      </c>
      <c r="M55" s="83" t="s">
        <v>83</v>
      </c>
      <c r="N55" s="83" t="s">
        <v>84</v>
      </c>
      <c r="O55" s="83" t="s">
        <v>85</v>
      </c>
      <c r="P55" s="83" t="s">
        <v>86</v>
      </c>
      <c r="Q55" s="83" t="s">
        <v>87</v>
      </c>
      <c r="R55" s="83" t="s">
        <v>88</v>
      </c>
      <c r="S55" s="84" t="s">
        <v>89</v>
      </c>
      <c r="T55" s="85"/>
    </row>
    <row r="56" spans="1:21" ht="15" customHeight="1" thickBot="1" x14ac:dyDescent="0.35">
      <c r="J56" s="85" t="s">
        <v>90</v>
      </c>
      <c r="K56" s="87"/>
      <c r="L56" s="88"/>
      <c r="M56" s="88"/>
      <c r="N56" s="88"/>
      <c r="O56" s="88"/>
      <c r="P56" s="88"/>
      <c r="Q56" s="88"/>
      <c r="R56" s="88"/>
      <c r="S56" s="89"/>
      <c r="T56" s="118"/>
    </row>
    <row r="57" spans="1:21" ht="15" customHeight="1" x14ac:dyDescent="0.3"/>
    <row r="59" spans="1:21" x14ac:dyDescent="0.3">
      <c r="S59" s="51" t="s">
        <v>91</v>
      </c>
      <c r="U59" s="75"/>
    </row>
    <row r="60" spans="1:21" x14ac:dyDescent="0.3">
      <c r="U60" s="75"/>
    </row>
    <row r="61" spans="1:21" x14ac:dyDescent="0.3">
      <c r="U61" s="75"/>
    </row>
  </sheetData>
  <mergeCells count="2">
    <mergeCell ref="K3:S3"/>
    <mergeCell ref="B3:J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59"/>
  <sheetViews>
    <sheetView showGridLines="0" workbookViewId="0">
      <selection activeCell="P27" sqref="P27"/>
    </sheetView>
  </sheetViews>
  <sheetFormatPr defaultColWidth="8.85546875" defaultRowHeight="14.4" x14ac:dyDescent="0.3"/>
  <cols>
    <col min="1" max="1" width="4.42578125" style="25" customWidth="1"/>
    <col min="2" max="2" width="12.7109375" style="25" customWidth="1"/>
    <col min="3" max="3" width="13" style="25" customWidth="1"/>
    <col min="4" max="12" width="9.85546875" style="25" customWidth="1"/>
    <col min="13" max="16384" width="8.85546875" style="25"/>
  </cols>
  <sheetData>
    <row r="1" spans="2:21" ht="23.4" x14ac:dyDescent="0.3">
      <c r="B1" s="7" t="s">
        <v>64</v>
      </c>
    </row>
    <row r="3" spans="2:21" x14ac:dyDescent="0.3">
      <c r="C3" s="16" t="s">
        <v>10</v>
      </c>
    </row>
    <row r="5" spans="2:21" x14ac:dyDescent="0.3">
      <c r="C5" s="50" t="s">
        <v>62</v>
      </c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0">
        <v>6</v>
      </c>
      <c r="J5" s="50">
        <v>7</v>
      </c>
      <c r="K5" s="50">
        <v>8</v>
      </c>
      <c r="L5" s="50">
        <v>9</v>
      </c>
    </row>
    <row r="6" spans="2:21" x14ac:dyDescent="0.3">
      <c r="C6" s="50" t="s">
        <v>63</v>
      </c>
      <c r="D6" s="116"/>
      <c r="E6" s="116"/>
      <c r="F6" s="116"/>
      <c r="G6" s="116"/>
      <c r="H6" s="116"/>
      <c r="I6" s="116"/>
      <c r="J6" s="116"/>
      <c r="K6" s="116"/>
      <c r="L6" s="116"/>
    </row>
    <row r="7" spans="2:21" ht="15.6" x14ac:dyDescent="0.3">
      <c r="G7" s="44"/>
      <c r="H7" s="44"/>
      <c r="I7" s="44"/>
      <c r="J7" s="44"/>
      <c r="K7" s="44"/>
    </row>
    <row r="8" spans="2:21" x14ac:dyDescent="0.3">
      <c r="C8" s="50" t="s">
        <v>66</v>
      </c>
      <c r="D8" s="50">
        <v>1</v>
      </c>
      <c r="E8" s="50">
        <v>2</v>
      </c>
      <c r="F8" s="50">
        <v>3</v>
      </c>
      <c r="G8" s="50">
        <v>4</v>
      </c>
      <c r="H8" s="50">
        <v>5</v>
      </c>
      <c r="I8" s="50">
        <v>6</v>
      </c>
      <c r="J8" s="50">
        <v>7</v>
      </c>
      <c r="K8" s="50">
        <v>8</v>
      </c>
      <c r="L8" s="50">
        <v>9</v>
      </c>
    </row>
    <row r="9" spans="2:21" ht="18" x14ac:dyDescent="0.35">
      <c r="C9" s="50">
        <v>1</v>
      </c>
      <c r="D9" s="95"/>
      <c r="E9" s="95"/>
      <c r="F9" s="95"/>
      <c r="G9" s="95"/>
      <c r="H9" s="95"/>
      <c r="I9" s="95"/>
      <c r="J9" s="95"/>
      <c r="K9" s="95"/>
      <c r="L9" s="95"/>
      <c r="P9" s="130"/>
      <c r="Q9" s="130"/>
      <c r="R9" s="130"/>
      <c r="S9" s="130"/>
      <c r="T9" s="130"/>
      <c r="U9" s="130"/>
    </row>
    <row r="10" spans="2:21" x14ac:dyDescent="0.3">
      <c r="C10" s="50">
        <v>2</v>
      </c>
      <c r="D10" s="96"/>
      <c r="E10" s="96"/>
      <c r="F10" s="96"/>
      <c r="G10" s="96"/>
      <c r="H10" s="96"/>
      <c r="I10" s="96"/>
      <c r="J10" s="96"/>
      <c r="K10" s="96"/>
      <c r="L10" s="96"/>
    </row>
    <row r="11" spans="2:21" x14ac:dyDescent="0.3">
      <c r="C11" s="50">
        <v>3</v>
      </c>
      <c r="D11" s="95"/>
      <c r="E11" s="95"/>
      <c r="F11" s="95"/>
      <c r="G11" s="95"/>
      <c r="H11" s="95"/>
      <c r="I11" s="95"/>
      <c r="J11" s="95"/>
      <c r="K11" s="95"/>
      <c r="L11" s="95"/>
    </row>
    <row r="12" spans="2:21" x14ac:dyDescent="0.3">
      <c r="C12" s="50">
        <v>4</v>
      </c>
      <c r="D12" s="95"/>
      <c r="E12" s="95"/>
      <c r="F12" s="95"/>
      <c r="G12" s="95"/>
      <c r="H12" s="95"/>
      <c r="I12" s="95"/>
      <c r="J12" s="95"/>
      <c r="K12" s="95"/>
      <c r="L12" s="95"/>
    </row>
    <row r="13" spans="2:21" x14ac:dyDescent="0.3">
      <c r="C13" s="50">
        <v>5</v>
      </c>
      <c r="D13" s="96"/>
      <c r="E13" s="96"/>
      <c r="F13" s="96"/>
      <c r="G13" s="96"/>
      <c r="H13" s="96"/>
      <c r="I13" s="96"/>
      <c r="J13" s="96"/>
      <c r="K13" s="96"/>
      <c r="L13" s="96"/>
    </row>
    <row r="14" spans="2:21" x14ac:dyDescent="0.3">
      <c r="C14" s="50">
        <v>6</v>
      </c>
      <c r="D14" s="95"/>
      <c r="E14" s="95"/>
      <c r="F14" s="95"/>
      <c r="G14" s="95"/>
      <c r="H14" s="95"/>
      <c r="I14" s="95"/>
      <c r="J14" s="95"/>
      <c r="K14" s="95"/>
      <c r="L14" s="95"/>
    </row>
    <row r="15" spans="2:21" ht="18" x14ac:dyDescent="0.35">
      <c r="C15" s="50">
        <v>7</v>
      </c>
      <c r="D15" s="95"/>
      <c r="E15" s="95"/>
      <c r="F15" s="95"/>
      <c r="G15" s="95"/>
      <c r="H15" s="95"/>
      <c r="I15" s="95"/>
      <c r="J15" s="95"/>
      <c r="K15" s="95"/>
      <c r="L15" s="95"/>
      <c r="P15" s="130"/>
      <c r="Q15" s="130"/>
      <c r="R15" s="130"/>
      <c r="S15" s="130"/>
    </row>
    <row r="16" spans="2:21" x14ac:dyDescent="0.3">
      <c r="C16" s="50">
        <v>8</v>
      </c>
      <c r="D16" s="96"/>
      <c r="E16" s="96"/>
      <c r="F16" s="96"/>
      <c r="G16" s="96"/>
      <c r="H16" s="96"/>
      <c r="I16" s="96"/>
      <c r="J16" s="96"/>
      <c r="K16" s="96"/>
      <c r="L16" s="96"/>
    </row>
    <row r="17" spans="2:12" x14ac:dyDescent="0.3">
      <c r="C17" s="50">
        <v>9</v>
      </c>
      <c r="D17" s="95"/>
      <c r="E17" s="95"/>
      <c r="F17" s="95"/>
      <c r="G17" s="95"/>
      <c r="H17" s="95"/>
      <c r="I17" s="95"/>
      <c r="J17" s="95"/>
      <c r="K17" s="95"/>
      <c r="L17" s="95"/>
    </row>
    <row r="18" spans="2:12" ht="15.6" x14ac:dyDescent="0.3">
      <c r="G18" s="44"/>
      <c r="H18" s="44"/>
      <c r="I18" s="44"/>
      <c r="J18" s="44"/>
      <c r="K18" s="44"/>
    </row>
    <row r="19" spans="2:12" x14ac:dyDescent="0.3">
      <c r="B19" s="1" t="s">
        <v>0</v>
      </c>
      <c r="D19" s="1"/>
      <c r="E19" s="1"/>
      <c r="H19" s="48"/>
    </row>
    <row r="20" spans="2:12" x14ac:dyDescent="0.3">
      <c r="D20" s="103" t="s">
        <v>71</v>
      </c>
      <c r="E20" s="103" t="s">
        <v>72</v>
      </c>
      <c r="F20" s="103" t="s">
        <v>73</v>
      </c>
      <c r="G20" s="103" t="s">
        <v>99</v>
      </c>
      <c r="H20" s="103" t="s">
        <v>100</v>
      </c>
      <c r="I20" s="103" t="s">
        <v>101</v>
      </c>
      <c r="J20" s="103" t="s">
        <v>102</v>
      </c>
      <c r="K20" s="103" t="s">
        <v>103</v>
      </c>
      <c r="L20" s="103" t="s">
        <v>104</v>
      </c>
    </row>
    <row r="21" spans="2:12" ht="28.5" customHeight="1" x14ac:dyDescent="0.3">
      <c r="C21" s="104" t="s">
        <v>70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</row>
    <row r="23" spans="2:12" x14ac:dyDescent="0.3">
      <c r="B23" s="1" t="s">
        <v>14</v>
      </c>
      <c r="C23" s="1"/>
      <c r="D23" s="1"/>
    </row>
    <row r="25" spans="2:12" x14ac:dyDescent="0.3">
      <c r="B25" s="51"/>
      <c r="C25" s="51"/>
      <c r="D25" s="52">
        <f t="shared" ref="D25:L25" si="0">D21</f>
        <v>0</v>
      </c>
      <c r="E25" s="52">
        <f t="shared" si="0"/>
        <v>0</v>
      </c>
      <c r="F25" s="52">
        <f t="shared" si="0"/>
        <v>0</v>
      </c>
      <c r="G25" s="52">
        <f t="shared" si="0"/>
        <v>0</v>
      </c>
      <c r="H25" s="52">
        <f t="shared" si="0"/>
        <v>0</v>
      </c>
      <c r="I25" s="52">
        <f t="shared" si="0"/>
        <v>0</v>
      </c>
      <c r="J25" s="52">
        <f t="shared" si="0"/>
        <v>0</v>
      </c>
      <c r="K25" s="52">
        <f t="shared" si="0"/>
        <v>0</v>
      </c>
      <c r="L25" s="52">
        <f t="shared" si="0"/>
        <v>0</v>
      </c>
    </row>
    <row r="26" spans="2:12" x14ac:dyDescent="0.3">
      <c r="B26" s="51"/>
      <c r="C26" s="50" t="s">
        <v>66</v>
      </c>
      <c r="D26" s="50">
        <v>1</v>
      </c>
      <c r="E26" s="50">
        <v>2</v>
      </c>
      <c r="F26" s="50">
        <v>3</v>
      </c>
      <c r="G26" s="50">
        <v>4</v>
      </c>
      <c r="H26" s="50">
        <v>5</v>
      </c>
      <c r="I26" s="50">
        <v>6</v>
      </c>
      <c r="J26" s="50">
        <v>7</v>
      </c>
      <c r="K26" s="50">
        <v>8</v>
      </c>
      <c r="L26" s="50">
        <v>9</v>
      </c>
    </row>
    <row r="27" spans="2:12" x14ac:dyDescent="0.3">
      <c r="B27" s="53">
        <f>D21</f>
        <v>0</v>
      </c>
      <c r="C27" s="50">
        <v>1</v>
      </c>
      <c r="D27" s="95">
        <f>D9</f>
        <v>0</v>
      </c>
      <c r="E27" s="95">
        <f t="shared" ref="E27:L27" si="1">E9</f>
        <v>0</v>
      </c>
      <c r="F27" s="95">
        <f t="shared" si="1"/>
        <v>0</v>
      </c>
      <c r="G27" s="95">
        <f t="shared" si="1"/>
        <v>0</v>
      </c>
      <c r="H27" s="95">
        <f t="shared" si="1"/>
        <v>0</v>
      </c>
      <c r="I27" s="95">
        <f t="shared" si="1"/>
        <v>0</v>
      </c>
      <c r="J27" s="95">
        <f t="shared" si="1"/>
        <v>0</v>
      </c>
      <c r="K27" s="95">
        <f t="shared" si="1"/>
        <v>0</v>
      </c>
      <c r="L27" s="95">
        <f t="shared" si="1"/>
        <v>0</v>
      </c>
    </row>
    <row r="28" spans="2:12" x14ac:dyDescent="0.3">
      <c r="B28" s="53">
        <f>E21</f>
        <v>0</v>
      </c>
      <c r="C28" s="50">
        <v>2</v>
      </c>
      <c r="D28" s="95">
        <f t="shared" ref="D28:L28" si="2">D10</f>
        <v>0</v>
      </c>
      <c r="E28" s="95">
        <f t="shared" si="2"/>
        <v>0</v>
      </c>
      <c r="F28" s="95">
        <f t="shared" si="2"/>
        <v>0</v>
      </c>
      <c r="G28" s="95">
        <f t="shared" si="2"/>
        <v>0</v>
      </c>
      <c r="H28" s="95">
        <f t="shared" si="2"/>
        <v>0</v>
      </c>
      <c r="I28" s="95">
        <f t="shared" si="2"/>
        <v>0</v>
      </c>
      <c r="J28" s="95">
        <f t="shared" si="2"/>
        <v>0</v>
      </c>
      <c r="K28" s="95">
        <f t="shared" si="2"/>
        <v>0</v>
      </c>
      <c r="L28" s="95">
        <f t="shared" si="2"/>
        <v>0</v>
      </c>
    </row>
    <row r="29" spans="2:12" x14ac:dyDescent="0.3">
      <c r="B29" s="53">
        <f>F21</f>
        <v>0</v>
      </c>
      <c r="C29" s="50">
        <v>3</v>
      </c>
      <c r="D29" s="95">
        <f t="shared" ref="D29:L29" si="3">D11</f>
        <v>0</v>
      </c>
      <c r="E29" s="95">
        <f t="shared" si="3"/>
        <v>0</v>
      </c>
      <c r="F29" s="95">
        <f t="shared" si="3"/>
        <v>0</v>
      </c>
      <c r="G29" s="95">
        <f t="shared" si="3"/>
        <v>0</v>
      </c>
      <c r="H29" s="95">
        <f t="shared" si="3"/>
        <v>0</v>
      </c>
      <c r="I29" s="95">
        <f t="shared" si="3"/>
        <v>0</v>
      </c>
      <c r="J29" s="95">
        <f t="shared" si="3"/>
        <v>0</v>
      </c>
      <c r="K29" s="95">
        <f t="shared" si="3"/>
        <v>0</v>
      </c>
      <c r="L29" s="95">
        <f t="shared" si="3"/>
        <v>0</v>
      </c>
    </row>
    <row r="30" spans="2:12" x14ac:dyDescent="0.3">
      <c r="B30" s="53">
        <f>G21</f>
        <v>0</v>
      </c>
      <c r="C30" s="50">
        <v>4</v>
      </c>
      <c r="D30" s="95">
        <f t="shared" ref="D30:L30" si="4">D12</f>
        <v>0</v>
      </c>
      <c r="E30" s="95">
        <f t="shared" si="4"/>
        <v>0</v>
      </c>
      <c r="F30" s="95">
        <f t="shared" si="4"/>
        <v>0</v>
      </c>
      <c r="G30" s="95">
        <f t="shared" si="4"/>
        <v>0</v>
      </c>
      <c r="H30" s="95">
        <f t="shared" si="4"/>
        <v>0</v>
      </c>
      <c r="I30" s="95">
        <f t="shared" si="4"/>
        <v>0</v>
      </c>
      <c r="J30" s="95">
        <f t="shared" si="4"/>
        <v>0</v>
      </c>
      <c r="K30" s="95">
        <f t="shared" si="4"/>
        <v>0</v>
      </c>
      <c r="L30" s="95">
        <f t="shared" si="4"/>
        <v>0</v>
      </c>
    </row>
    <row r="31" spans="2:12" x14ac:dyDescent="0.3">
      <c r="B31" s="53">
        <f>H21</f>
        <v>0</v>
      </c>
      <c r="C31" s="50">
        <v>5</v>
      </c>
      <c r="D31" s="95">
        <f t="shared" ref="D31:L31" si="5">D13</f>
        <v>0</v>
      </c>
      <c r="E31" s="95">
        <f t="shared" si="5"/>
        <v>0</v>
      </c>
      <c r="F31" s="95">
        <f t="shared" si="5"/>
        <v>0</v>
      </c>
      <c r="G31" s="95">
        <f t="shared" si="5"/>
        <v>0</v>
      </c>
      <c r="H31" s="95">
        <f t="shared" si="5"/>
        <v>0</v>
      </c>
      <c r="I31" s="95">
        <f t="shared" si="5"/>
        <v>0</v>
      </c>
      <c r="J31" s="95">
        <f t="shared" si="5"/>
        <v>0</v>
      </c>
      <c r="K31" s="95">
        <f t="shared" si="5"/>
        <v>0</v>
      </c>
      <c r="L31" s="95">
        <f t="shared" si="5"/>
        <v>0</v>
      </c>
    </row>
    <row r="32" spans="2:12" x14ac:dyDescent="0.3">
      <c r="B32" s="53">
        <f>I21</f>
        <v>0</v>
      </c>
      <c r="C32" s="50">
        <v>6</v>
      </c>
      <c r="D32" s="95">
        <f t="shared" ref="D32:L32" si="6">D14</f>
        <v>0</v>
      </c>
      <c r="E32" s="95">
        <f t="shared" si="6"/>
        <v>0</v>
      </c>
      <c r="F32" s="95">
        <f t="shared" si="6"/>
        <v>0</v>
      </c>
      <c r="G32" s="95">
        <f t="shared" si="6"/>
        <v>0</v>
      </c>
      <c r="H32" s="95">
        <f t="shared" si="6"/>
        <v>0</v>
      </c>
      <c r="I32" s="95">
        <f t="shared" si="6"/>
        <v>0</v>
      </c>
      <c r="J32" s="95">
        <f t="shared" si="6"/>
        <v>0</v>
      </c>
      <c r="K32" s="95">
        <f t="shared" si="6"/>
        <v>0</v>
      </c>
      <c r="L32" s="95">
        <f t="shared" si="6"/>
        <v>0</v>
      </c>
    </row>
    <row r="33" spans="2:12" x14ac:dyDescent="0.3">
      <c r="B33" s="53">
        <f>J21</f>
        <v>0</v>
      </c>
      <c r="C33" s="50">
        <v>7</v>
      </c>
      <c r="D33" s="95">
        <f t="shared" ref="D33:L33" si="7">D15</f>
        <v>0</v>
      </c>
      <c r="E33" s="95">
        <f t="shared" si="7"/>
        <v>0</v>
      </c>
      <c r="F33" s="95">
        <f t="shared" si="7"/>
        <v>0</v>
      </c>
      <c r="G33" s="95">
        <f t="shared" si="7"/>
        <v>0</v>
      </c>
      <c r="H33" s="95">
        <f t="shared" si="7"/>
        <v>0</v>
      </c>
      <c r="I33" s="95">
        <f t="shared" si="7"/>
        <v>0</v>
      </c>
      <c r="J33" s="95">
        <f t="shared" si="7"/>
        <v>0</v>
      </c>
      <c r="K33" s="95">
        <f t="shared" si="7"/>
        <v>0</v>
      </c>
      <c r="L33" s="95">
        <f t="shared" si="7"/>
        <v>0</v>
      </c>
    </row>
    <row r="34" spans="2:12" x14ac:dyDescent="0.3">
      <c r="B34" s="53">
        <f>K21</f>
        <v>0</v>
      </c>
      <c r="C34" s="50">
        <v>8</v>
      </c>
      <c r="D34" s="95">
        <f t="shared" ref="D34:L34" si="8">D16</f>
        <v>0</v>
      </c>
      <c r="E34" s="95">
        <f t="shared" si="8"/>
        <v>0</v>
      </c>
      <c r="F34" s="95">
        <f t="shared" si="8"/>
        <v>0</v>
      </c>
      <c r="G34" s="95">
        <f t="shared" si="8"/>
        <v>0</v>
      </c>
      <c r="H34" s="95">
        <f t="shared" si="8"/>
        <v>0</v>
      </c>
      <c r="I34" s="95">
        <f t="shared" si="8"/>
        <v>0</v>
      </c>
      <c r="J34" s="95">
        <f t="shared" si="8"/>
        <v>0</v>
      </c>
      <c r="K34" s="95">
        <f t="shared" si="8"/>
        <v>0</v>
      </c>
      <c r="L34" s="95">
        <f t="shared" si="8"/>
        <v>0</v>
      </c>
    </row>
    <row r="35" spans="2:12" x14ac:dyDescent="0.3">
      <c r="B35" s="53">
        <f>L21</f>
        <v>0</v>
      </c>
      <c r="C35" s="50">
        <v>9</v>
      </c>
      <c r="D35" s="95">
        <f t="shared" ref="D35:L35" si="9">D17</f>
        <v>0</v>
      </c>
      <c r="E35" s="95">
        <f t="shared" si="9"/>
        <v>0</v>
      </c>
      <c r="F35" s="95">
        <f t="shared" si="9"/>
        <v>0</v>
      </c>
      <c r="G35" s="95">
        <f t="shared" si="9"/>
        <v>0</v>
      </c>
      <c r="H35" s="95">
        <f t="shared" si="9"/>
        <v>0</v>
      </c>
      <c r="I35" s="95">
        <f t="shared" si="9"/>
        <v>0</v>
      </c>
      <c r="J35" s="95">
        <f t="shared" si="9"/>
        <v>0</v>
      </c>
      <c r="K35" s="95">
        <f t="shared" si="9"/>
        <v>0</v>
      </c>
      <c r="L35" s="95">
        <f t="shared" si="9"/>
        <v>0</v>
      </c>
    </row>
    <row r="37" spans="2:12" ht="41.4" x14ac:dyDescent="0.3">
      <c r="C37" s="50" t="s">
        <v>74</v>
      </c>
      <c r="D37" s="50">
        <v>1</v>
      </c>
      <c r="E37" s="50">
        <v>2</v>
      </c>
      <c r="F37" s="50">
        <v>3</v>
      </c>
      <c r="G37" s="50">
        <v>4</v>
      </c>
      <c r="H37" s="50">
        <v>5</v>
      </c>
      <c r="I37" s="50">
        <v>6</v>
      </c>
      <c r="J37" s="50">
        <v>7</v>
      </c>
      <c r="K37" s="50">
        <v>8</v>
      </c>
      <c r="L37" s="50">
        <v>9</v>
      </c>
    </row>
    <row r="38" spans="2:12" x14ac:dyDescent="0.3">
      <c r="C38" s="50">
        <v>1</v>
      </c>
      <c r="D38" s="54">
        <f>$B27*D$25*D27</f>
        <v>0</v>
      </c>
      <c r="E38" s="54">
        <f t="shared" ref="E38:L38" si="10">$B27*E$25*E27</f>
        <v>0</v>
      </c>
      <c r="F38" s="54">
        <f t="shared" si="10"/>
        <v>0</v>
      </c>
      <c r="G38" s="54">
        <f t="shared" si="10"/>
        <v>0</v>
      </c>
      <c r="H38" s="54">
        <f t="shared" si="10"/>
        <v>0</v>
      </c>
      <c r="I38" s="54">
        <f t="shared" si="10"/>
        <v>0</v>
      </c>
      <c r="J38" s="54">
        <f t="shared" si="10"/>
        <v>0</v>
      </c>
      <c r="K38" s="54">
        <f t="shared" si="10"/>
        <v>0</v>
      </c>
      <c r="L38" s="54">
        <f t="shared" si="10"/>
        <v>0</v>
      </c>
    </row>
    <row r="39" spans="2:12" x14ac:dyDescent="0.3">
      <c r="C39" s="50">
        <v>2</v>
      </c>
      <c r="D39" s="54">
        <f t="shared" ref="D39:L39" si="11">$B28*D$25*D28</f>
        <v>0</v>
      </c>
      <c r="E39" s="54">
        <f t="shared" si="11"/>
        <v>0</v>
      </c>
      <c r="F39" s="54">
        <f t="shared" si="11"/>
        <v>0</v>
      </c>
      <c r="G39" s="54">
        <f t="shared" si="11"/>
        <v>0</v>
      </c>
      <c r="H39" s="54">
        <f t="shared" si="11"/>
        <v>0</v>
      </c>
      <c r="I39" s="54">
        <f t="shared" si="11"/>
        <v>0</v>
      </c>
      <c r="J39" s="54">
        <f t="shared" si="11"/>
        <v>0</v>
      </c>
      <c r="K39" s="54">
        <f t="shared" si="11"/>
        <v>0</v>
      </c>
      <c r="L39" s="54">
        <f t="shared" si="11"/>
        <v>0</v>
      </c>
    </row>
    <row r="40" spans="2:12" x14ac:dyDescent="0.3">
      <c r="C40" s="50">
        <v>3</v>
      </c>
      <c r="D40" s="54">
        <f t="shared" ref="D40:L40" si="12">$B29*D$25*D29</f>
        <v>0</v>
      </c>
      <c r="E40" s="54">
        <f t="shared" si="12"/>
        <v>0</v>
      </c>
      <c r="F40" s="54">
        <f t="shared" si="12"/>
        <v>0</v>
      </c>
      <c r="G40" s="54">
        <f t="shared" si="12"/>
        <v>0</v>
      </c>
      <c r="H40" s="54">
        <f t="shared" si="12"/>
        <v>0</v>
      </c>
      <c r="I40" s="54">
        <f t="shared" si="12"/>
        <v>0</v>
      </c>
      <c r="J40" s="54">
        <f t="shared" si="12"/>
        <v>0</v>
      </c>
      <c r="K40" s="54">
        <f t="shared" si="12"/>
        <v>0</v>
      </c>
      <c r="L40" s="54">
        <f t="shared" si="12"/>
        <v>0</v>
      </c>
    </row>
    <row r="41" spans="2:12" x14ac:dyDescent="0.3">
      <c r="C41" s="50">
        <v>4</v>
      </c>
      <c r="D41" s="54">
        <f t="shared" ref="D41:L41" si="13">$B30*D$25*D30</f>
        <v>0</v>
      </c>
      <c r="E41" s="54">
        <f t="shared" si="13"/>
        <v>0</v>
      </c>
      <c r="F41" s="54">
        <f t="shared" si="13"/>
        <v>0</v>
      </c>
      <c r="G41" s="54">
        <f t="shared" si="13"/>
        <v>0</v>
      </c>
      <c r="H41" s="54">
        <f t="shared" si="13"/>
        <v>0</v>
      </c>
      <c r="I41" s="54">
        <f t="shared" si="13"/>
        <v>0</v>
      </c>
      <c r="J41" s="54">
        <f t="shared" si="13"/>
        <v>0</v>
      </c>
      <c r="K41" s="54">
        <f t="shared" si="13"/>
        <v>0</v>
      </c>
      <c r="L41" s="54">
        <f t="shared" si="13"/>
        <v>0</v>
      </c>
    </row>
    <row r="42" spans="2:12" x14ac:dyDescent="0.3">
      <c r="C42" s="50">
        <v>5</v>
      </c>
      <c r="D42" s="54">
        <f t="shared" ref="D42:L42" si="14">$B31*D$25*D31</f>
        <v>0</v>
      </c>
      <c r="E42" s="54">
        <f t="shared" si="14"/>
        <v>0</v>
      </c>
      <c r="F42" s="54">
        <f t="shared" si="14"/>
        <v>0</v>
      </c>
      <c r="G42" s="54">
        <f t="shared" si="14"/>
        <v>0</v>
      </c>
      <c r="H42" s="54">
        <f t="shared" si="14"/>
        <v>0</v>
      </c>
      <c r="I42" s="54">
        <f t="shared" si="14"/>
        <v>0</v>
      </c>
      <c r="J42" s="54">
        <f t="shared" si="14"/>
        <v>0</v>
      </c>
      <c r="K42" s="54">
        <f t="shared" si="14"/>
        <v>0</v>
      </c>
      <c r="L42" s="54">
        <f t="shared" si="14"/>
        <v>0</v>
      </c>
    </row>
    <row r="43" spans="2:12" x14ac:dyDescent="0.3">
      <c r="C43" s="50">
        <v>6</v>
      </c>
      <c r="D43" s="54">
        <f t="shared" ref="D43:L43" si="15">$B32*D$25*D32</f>
        <v>0</v>
      </c>
      <c r="E43" s="54">
        <f t="shared" si="15"/>
        <v>0</v>
      </c>
      <c r="F43" s="54">
        <f t="shared" si="15"/>
        <v>0</v>
      </c>
      <c r="G43" s="54">
        <f t="shared" si="15"/>
        <v>0</v>
      </c>
      <c r="H43" s="54">
        <f t="shared" si="15"/>
        <v>0</v>
      </c>
      <c r="I43" s="54">
        <f t="shared" si="15"/>
        <v>0</v>
      </c>
      <c r="J43" s="54">
        <f t="shared" si="15"/>
        <v>0</v>
      </c>
      <c r="K43" s="54">
        <f t="shared" si="15"/>
        <v>0</v>
      </c>
      <c r="L43" s="54">
        <f t="shared" si="15"/>
        <v>0</v>
      </c>
    </row>
    <row r="44" spans="2:12" x14ac:dyDescent="0.3">
      <c r="C44" s="50">
        <v>7</v>
      </c>
      <c r="D44" s="54">
        <f t="shared" ref="D44:L44" si="16">$B33*D$25*D33</f>
        <v>0</v>
      </c>
      <c r="E44" s="54">
        <f t="shared" si="16"/>
        <v>0</v>
      </c>
      <c r="F44" s="54">
        <f t="shared" si="16"/>
        <v>0</v>
      </c>
      <c r="G44" s="54">
        <f t="shared" si="16"/>
        <v>0</v>
      </c>
      <c r="H44" s="54">
        <f t="shared" si="16"/>
        <v>0</v>
      </c>
      <c r="I44" s="54">
        <f t="shared" si="16"/>
        <v>0</v>
      </c>
      <c r="J44" s="54">
        <f t="shared" si="16"/>
        <v>0</v>
      </c>
      <c r="K44" s="54">
        <f t="shared" si="16"/>
        <v>0</v>
      </c>
      <c r="L44" s="54">
        <f t="shared" si="16"/>
        <v>0</v>
      </c>
    </row>
    <row r="45" spans="2:12" x14ac:dyDescent="0.3">
      <c r="C45" s="50">
        <v>8</v>
      </c>
      <c r="D45" s="54">
        <f t="shared" ref="D45:L45" si="17">$B34*D$25*D34</f>
        <v>0</v>
      </c>
      <c r="E45" s="54">
        <f t="shared" si="17"/>
        <v>0</v>
      </c>
      <c r="F45" s="54">
        <f t="shared" si="17"/>
        <v>0</v>
      </c>
      <c r="G45" s="54">
        <f t="shared" si="17"/>
        <v>0</v>
      </c>
      <c r="H45" s="54">
        <f t="shared" si="17"/>
        <v>0</v>
      </c>
      <c r="I45" s="54">
        <f t="shared" si="17"/>
        <v>0</v>
      </c>
      <c r="J45" s="54">
        <f t="shared" si="17"/>
        <v>0</v>
      </c>
      <c r="K45" s="54">
        <f t="shared" si="17"/>
        <v>0</v>
      </c>
      <c r="L45" s="54">
        <f t="shared" si="17"/>
        <v>0</v>
      </c>
    </row>
    <row r="46" spans="2:12" x14ac:dyDescent="0.3">
      <c r="C46" s="50">
        <v>9</v>
      </c>
      <c r="D46" s="54">
        <f t="shared" ref="D46:L46" si="18">$B35*D$25*D35</f>
        <v>0</v>
      </c>
      <c r="E46" s="54">
        <f t="shared" si="18"/>
        <v>0</v>
      </c>
      <c r="F46" s="54">
        <f t="shared" si="18"/>
        <v>0</v>
      </c>
      <c r="G46" s="54">
        <f t="shared" si="18"/>
        <v>0</v>
      </c>
      <c r="H46" s="54">
        <f t="shared" si="18"/>
        <v>0</v>
      </c>
      <c r="I46" s="54">
        <f t="shared" si="18"/>
        <v>0</v>
      </c>
      <c r="J46" s="54">
        <f t="shared" si="18"/>
        <v>0</v>
      </c>
      <c r="K46" s="54">
        <f t="shared" si="18"/>
        <v>0</v>
      </c>
      <c r="L46" s="54">
        <f t="shared" si="18"/>
        <v>0</v>
      </c>
    </row>
    <row r="48" spans="2:12" x14ac:dyDescent="0.3">
      <c r="C48" s="105" t="s">
        <v>65</v>
      </c>
      <c r="D48" s="99">
        <f>SUMPRODUCT(D6:L6,D21:L21)</f>
        <v>0</v>
      </c>
    </row>
    <row r="50" spans="2:6" x14ac:dyDescent="0.3">
      <c r="B50" s="1" t="s">
        <v>1</v>
      </c>
    </row>
    <row r="52" spans="2:6" ht="14.4" customHeight="1" x14ac:dyDescent="0.3">
      <c r="B52" s="129" t="s">
        <v>106</v>
      </c>
      <c r="C52" s="129"/>
      <c r="D52" s="107">
        <f>SQRT(SUM(D38:L46))</f>
        <v>0</v>
      </c>
    </row>
    <row r="53" spans="2:6" x14ac:dyDescent="0.3">
      <c r="B53" s="129"/>
      <c r="C53" s="129"/>
    </row>
    <row r="55" spans="2:6" x14ac:dyDescent="0.3">
      <c r="B55" s="1" t="s">
        <v>2</v>
      </c>
    </row>
    <row r="56" spans="2:6" x14ac:dyDescent="0.3">
      <c r="B56" s="103" t="s">
        <v>3</v>
      </c>
      <c r="C56" s="103"/>
      <c r="D56" s="103" t="s">
        <v>4</v>
      </c>
    </row>
    <row r="57" spans="2:6" x14ac:dyDescent="0.3">
      <c r="B57" s="108">
        <f>D48</f>
        <v>0</v>
      </c>
      <c r="C57" s="4" t="s">
        <v>9</v>
      </c>
      <c r="D57" s="97">
        <v>0.01</v>
      </c>
      <c r="F57" s="1" t="s">
        <v>105</v>
      </c>
    </row>
    <row r="58" spans="2:6" x14ac:dyDescent="0.3">
      <c r="F58" s="1"/>
    </row>
    <row r="59" spans="2:6" x14ac:dyDescent="0.3">
      <c r="B59" s="94">
        <f>SUM(D21:L21)</f>
        <v>0</v>
      </c>
      <c r="C59" s="47" t="s">
        <v>68</v>
      </c>
      <c r="D59" s="97">
        <v>1</v>
      </c>
      <c r="F59" s="1" t="s">
        <v>69</v>
      </c>
    </row>
  </sheetData>
  <mergeCells count="3">
    <mergeCell ref="B52:C53"/>
    <mergeCell ref="P15:S15"/>
    <mergeCell ref="P9:U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59"/>
  <sheetViews>
    <sheetView showGridLines="0" workbookViewId="0">
      <selection activeCell="AK35" sqref="AK35"/>
    </sheetView>
  </sheetViews>
  <sheetFormatPr defaultColWidth="8.85546875" defaultRowHeight="14.4" x14ac:dyDescent="0.3"/>
  <cols>
    <col min="1" max="1" width="4.42578125" style="25" customWidth="1"/>
    <col min="2" max="2" width="12.7109375" style="25" customWidth="1"/>
    <col min="3" max="3" width="13" style="25" customWidth="1"/>
    <col min="4" max="12" width="9.85546875" style="25" customWidth="1"/>
    <col min="13" max="16384" width="8.85546875" style="25"/>
  </cols>
  <sheetData>
    <row r="1" spans="2:12" ht="23.4" x14ac:dyDescent="0.3">
      <c r="B1" s="7" t="s">
        <v>64</v>
      </c>
    </row>
    <row r="3" spans="2:12" x14ac:dyDescent="0.3">
      <c r="C3" s="16" t="s">
        <v>10</v>
      </c>
    </row>
    <row r="5" spans="2:12" x14ac:dyDescent="0.3">
      <c r="C5" s="50" t="s">
        <v>62</v>
      </c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0">
        <v>6</v>
      </c>
      <c r="J5" s="50">
        <v>7</v>
      </c>
      <c r="K5" s="50">
        <v>8</v>
      </c>
      <c r="L5" s="50">
        <v>9</v>
      </c>
    </row>
    <row r="6" spans="2:12" x14ac:dyDescent="0.3">
      <c r="C6" s="50" t="s">
        <v>63</v>
      </c>
      <c r="D6" s="116">
        <f>'1. Minimise risk'!D6</f>
        <v>0</v>
      </c>
      <c r="E6" s="116">
        <f>'1. Minimise risk'!E6</f>
        <v>0</v>
      </c>
      <c r="F6" s="116">
        <f>'1. Minimise risk'!F6</f>
        <v>0</v>
      </c>
      <c r="G6" s="116">
        <f>'1. Minimise risk'!G6</f>
        <v>0</v>
      </c>
      <c r="H6" s="116">
        <f>'1. Minimise risk'!H6</f>
        <v>0</v>
      </c>
      <c r="I6" s="116">
        <f>'1. Minimise risk'!I6</f>
        <v>0</v>
      </c>
      <c r="J6" s="116">
        <f>'1. Minimise risk'!J6</f>
        <v>0</v>
      </c>
      <c r="K6" s="116">
        <f>'1. Minimise risk'!K6</f>
        <v>0</v>
      </c>
      <c r="L6" s="116">
        <f>'1. Minimise risk'!L6</f>
        <v>0</v>
      </c>
    </row>
    <row r="7" spans="2:12" ht="15.6" x14ac:dyDescent="0.3">
      <c r="G7" s="44"/>
      <c r="H7" s="44"/>
      <c r="I7" s="44"/>
      <c r="J7" s="44"/>
      <c r="K7" s="44"/>
    </row>
    <row r="8" spans="2:12" x14ac:dyDescent="0.3">
      <c r="C8" s="50" t="s">
        <v>66</v>
      </c>
      <c r="D8" s="50">
        <v>1</v>
      </c>
      <c r="E8" s="50">
        <v>2</v>
      </c>
      <c r="F8" s="50">
        <v>3</v>
      </c>
      <c r="G8" s="50">
        <v>4</v>
      </c>
      <c r="H8" s="50">
        <v>5</v>
      </c>
      <c r="I8" s="50">
        <v>6</v>
      </c>
      <c r="J8" s="50">
        <v>7</v>
      </c>
      <c r="K8" s="50">
        <v>8</v>
      </c>
      <c r="L8" s="50">
        <v>9</v>
      </c>
    </row>
    <row r="9" spans="2:12" x14ac:dyDescent="0.3">
      <c r="C9" s="50">
        <v>1</v>
      </c>
      <c r="D9" s="95">
        <f>'1. Minimise risk'!D9</f>
        <v>0</v>
      </c>
      <c r="E9" s="95">
        <f>'1. Minimise risk'!E9</f>
        <v>0</v>
      </c>
      <c r="F9" s="95">
        <f>'1. Minimise risk'!F9</f>
        <v>0</v>
      </c>
      <c r="G9" s="95">
        <f>'1. Minimise risk'!G9</f>
        <v>0</v>
      </c>
      <c r="H9" s="95">
        <f>'1. Minimise risk'!H9</f>
        <v>0</v>
      </c>
      <c r="I9" s="95">
        <f>'1. Minimise risk'!I9</f>
        <v>0</v>
      </c>
      <c r="J9" s="95">
        <f>'1. Minimise risk'!J9</f>
        <v>0</v>
      </c>
      <c r="K9" s="95">
        <f>'1. Minimise risk'!K9</f>
        <v>0</v>
      </c>
      <c r="L9" s="95">
        <f>'1. Minimise risk'!L9</f>
        <v>0</v>
      </c>
    </row>
    <row r="10" spans="2:12" x14ac:dyDescent="0.3">
      <c r="C10" s="50">
        <v>2</v>
      </c>
      <c r="D10" s="95">
        <f>'1. Minimise risk'!D10</f>
        <v>0</v>
      </c>
      <c r="E10" s="95">
        <f>'1. Minimise risk'!E10</f>
        <v>0</v>
      </c>
      <c r="F10" s="95">
        <f>'1. Minimise risk'!F10</f>
        <v>0</v>
      </c>
      <c r="G10" s="95">
        <f>'1. Minimise risk'!G10</f>
        <v>0</v>
      </c>
      <c r="H10" s="95">
        <f>'1. Minimise risk'!H10</f>
        <v>0</v>
      </c>
      <c r="I10" s="95">
        <f>'1. Minimise risk'!I10</f>
        <v>0</v>
      </c>
      <c r="J10" s="95">
        <f>'1. Minimise risk'!J10</f>
        <v>0</v>
      </c>
      <c r="K10" s="95">
        <f>'1. Minimise risk'!K10</f>
        <v>0</v>
      </c>
      <c r="L10" s="95">
        <f>'1. Minimise risk'!L10</f>
        <v>0</v>
      </c>
    </row>
    <row r="11" spans="2:12" x14ac:dyDescent="0.3">
      <c r="C11" s="50">
        <v>3</v>
      </c>
      <c r="D11" s="95">
        <f>'1. Minimise risk'!D11</f>
        <v>0</v>
      </c>
      <c r="E11" s="95">
        <f>'1. Minimise risk'!E11</f>
        <v>0</v>
      </c>
      <c r="F11" s="95">
        <f>'1. Minimise risk'!F11</f>
        <v>0</v>
      </c>
      <c r="G11" s="95">
        <f>'1. Minimise risk'!G11</f>
        <v>0</v>
      </c>
      <c r="H11" s="95">
        <f>'1. Minimise risk'!H11</f>
        <v>0</v>
      </c>
      <c r="I11" s="95">
        <f>'1. Minimise risk'!I11</f>
        <v>0</v>
      </c>
      <c r="J11" s="95">
        <f>'1. Minimise risk'!J11</f>
        <v>0</v>
      </c>
      <c r="K11" s="95">
        <f>'1. Minimise risk'!K11</f>
        <v>0</v>
      </c>
      <c r="L11" s="95">
        <f>'1. Minimise risk'!L11</f>
        <v>0</v>
      </c>
    </row>
    <row r="12" spans="2:12" x14ac:dyDescent="0.3">
      <c r="C12" s="50">
        <v>4</v>
      </c>
      <c r="D12" s="95">
        <f>'1. Minimise risk'!D12</f>
        <v>0</v>
      </c>
      <c r="E12" s="95">
        <f>'1. Minimise risk'!E12</f>
        <v>0</v>
      </c>
      <c r="F12" s="95">
        <f>'1. Minimise risk'!F12</f>
        <v>0</v>
      </c>
      <c r="G12" s="95">
        <f>'1. Minimise risk'!G12</f>
        <v>0</v>
      </c>
      <c r="H12" s="95">
        <f>'1. Minimise risk'!H12</f>
        <v>0</v>
      </c>
      <c r="I12" s="95">
        <f>'1. Minimise risk'!I12</f>
        <v>0</v>
      </c>
      <c r="J12" s="95">
        <f>'1. Minimise risk'!J12</f>
        <v>0</v>
      </c>
      <c r="K12" s="95">
        <f>'1. Minimise risk'!K12</f>
        <v>0</v>
      </c>
      <c r="L12" s="95">
        <f>'1. Minimise risk'!L12</f>
        <v>0</v>
      </c>
    </row>
    <row r="13" spans="2:12" x14ac:dyDescent="0.3">
      <c r="C13" s="50">
        <v>5</v>
      </c>
      <c r="D13" s="95">
        <f>'1. Minimise risk'!D13</f>
        <v>0</v>
      </c>
      <c r="E13" s="95">
        <f>'1. Minimise risk'!E13</f>
        <v>0</v>
      </c>
      <c r="F13" s="95">
        <f>'1. Minimise risk'!F13</f>
        <v>0</v>
      </c>
      <c r="G13" s="95">
        <f>'1. Minimise risk'!G13</f>
        <v>0</v>
      </c>
      <c r="H13" s="95">
        <f>'1. Minimise risk'!H13</f>
        <v>0</v>
      </c>
      <c r="I13" s="95">
        <f>'1. Minimise risk'!I13</f>
        <v>0</v>
      </c>
      <c r="J13" s="95">
        <f>'1. Minimise risk'!J13</f>
        <v>0</v>
      </c>
      <c r="K13" s="95">
        <f>'1. Minimise risk'!K13</f>
        <v>0</v>
      </c>
      <c r="L13" s="95">
        <f>'1. Minimise risk'!L13</f>
        <v>0</v>
      </c>
    </row>
    <row r="14" spans="2:12" x14ac:dyDescent="0.3">
      <c r="C14" s="50">
        <v>6</v>
      </c>
      <c r="D14" s="95">
        <f>'1. Minimise risk'!D14</f>
        <v>0</v>
      </c>
      <c r="E14" s="95">
        <f>'1. Minimise risk'!E14</f>
        <v>0</v>
      </c>
      <c r="F14" s="95">
        <f>'1. Minimise risk'!F14</f>
        <v>0</v>
      </c>
      <c r="G14" s="95">
        <f>'1. Minimise risk'!G14</f>
        <v>0</v>
      </c>
      <c r="H14" s="95">
        <f>'1. Minimise risk'!H14</f>
        <v>0</v>
      </c>
      <c r="I14" s="95">
        <f>'1. Minimise risk'!I14</f>
        <v>0</v>
      </c>
      <c r="J14" s="95">
        <f>'1. Minimise risk'!J14</f>
        <v>0</v>
      </c>
      <c r="K14" s="95">
        <f>'1. Minimise risk'!K14</f>
        <v>0</v>
      </c>
      <c r="L14" s="95">
        <f>'1. Minimise risk'!L14</f>
        <v>0</v>
      </c>
    </row>
    <row r="15" spans="2:12" x14ac:dyDescent="0.3">
      <c r="C15" s="50">
        <v>7</v>
      </c>
      <c r="D15" s="95">
        <f>'1. Minimise risk'!D15</f>
        <v>0</v>
      </c>
      <c r="E15" s="95">
        <f>'1. Minimise risk'!E15</f>
        <v>0</v>
      </c>
      <c r="F15" s="95">
        <f>'1. Minimise risk'!F15</f>
        <v>0</v>
      </c>
      <c r="G15" s="95">
        <f>'1. Minimise risk'!G15</f>
        <v>0</v>
      </c>
      <c r="H15" s="95">
        <f>'1. Minimise risk'!H15</f>
        <v>0</v>
      </c>
      <c r="I15" s="95">
        <f>'1. Minimise risk'!I15</f>
        <v>0</v>
      </c>
      <c r="J15" s="95">
        <f>'1. Minimise risk'!J15</f>
        <v>0</v>
      </c>
      <c r="K15" s="95">
        <f>'1. Minimise risk'!K15</f>
        <v>0</v>
      </c>
      <c r="L15" s="95">
        <f>'1. Minimise risk'!L15</f>
        <v>0</v>
      </c>
    </row>
    <row r="16" spans="2:12" x14ac:dyDescent="0.3">
      <c r="C16" s="50">
        <v>8</v>
      </c>
      <c r="D16" s="95">
        <f>'1. Minimise risk'!D16</f>
        <v>0</v>
      </c>
      <c r="E16" s="95">
        <f>'1. Minimise risk'!E16</f>
        <v>0</v>
      </c>
      <c r="F16" s="95">
        <f>'1. Minimise risk'!F16</f>
        <v>0</v>
      </c>
      <c r="G16" s="95">
        <f>'1. Minimise risk'!G16</f>
        <v>0</v>
      </c>
      <c r="H16" s="95">
        <f>'1. Minimise risk'!H16</f>
        <v>0</v>
      </c>
      <c r="I16" s="95">
        <f>'1. Minimise risk'!I16</f>
        <v>0</v>
      </c>
      <c r="J16" s="95">
        <f>'1. Minimise risk'!J16</f>
        <v>0</v>
      </c>
      <c r="K16" s="95">
        <f>'1. Minimise risk'!K16</f>
        <v>0</v>
      </c>
      <c r="L16" s="95">
        <f>'1. Minimise risk'!L16</f>
        <v>0</v>
      </c>
    </row>
    <row r="17" spans="2:12" x14ac:dyDescent="0.3">
      <c r="C17" s="50">
        <v>9</v>
      </c>
      <c r="D17" s="95">
        <f>'1. Minimise risk'!D17</f>
        <v>0</v>
      </c>
      <c r="E17" s="95">
        <f>'1. Minimise risk'!E17</f>
        <v>0</v>
      </c>
      <c r="F17" s="95">
        <f>'1. Minimise risk'!F17</f>
        <v>0</v>
      </c>
      <c r="G17" s="95">
        <f>'1. Minimise risk'!G17</f>
        <v>0</v>
      </c>
      <c r="H17" s="95">
        <f>'1. Minimise risk'!H17</f>
        <v>0</v>
      </c>
      <c r="I17" s="95">
        <f>'1. Minimise risk'!I17</f>
        <v>0</v>
      </c>
      <c r="J17" s="95">
        <f>'1. Minimise risk'!J17</f>
        <v>0</v>
      </c>
      <c r="K17" s="95">
        <f>'1. Minimise risk'!K17</f>
        <v>0</v>
      </c>
      <c r="L17" s="95">
        <f>'1. Minimise risk'!L17</f>
        <v>0</v>
      </c>
    </row>
    <row r="18" spans="2:12" ht="15.6" x14ac:dyDescent="0.3">
      <c r="G18" s="44"/>
      <c r="H18" s="44"/>
      <c r="I18" s="44"/>
      <c r="J18" s="44"/>
      <c r="K18" s="44"/>
    </row>
    <row r="19" spans="2:12" x14ac:dyDescent="0.3">
      <c r="B19" s="1" t="s">
        <v>0</v>
      </c>
      <c r="D19" s="1"/>
      <c r="E19" s="1"/>
      <c r="H19" s="48"/>
    </row>
    <row r="20" spans="2:12" x14ac:dyDescent="0.3">
      <c r="D20" s="103" t="s">
        <v>71</v>
      </c>
      <c r="E20" s="103" t="s">
        <v>72</v>
      </c>
      <c r="F20" s="103" t="s">
        <v>73</v>
      </c>
      <c r="G20" s="103" t="s">
        <v>99</v>
      </c>
      <c r="H20" s="103" t="s">
        <v>100</v>
      </c>
      <c r="I20" s="103" t="s">
        <v>101</v>
      </c>
      <c r="J20" s="103" t="s">
        <v>102</v>
      </c>
      <c r="K20" s="103" t="s">
        <v>103</v>
      </c>
      <c r="L20" s="103" t="s">
        <v>104</v>
      </c>
    </row>
    <row r="21" spans="2:12" ht="28.8" x14ac:dyDescent="0.3">
      <c r="C21" s="104" t="s">
        <v>70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</row>
    <row r="23" spans="2:12" x14ac:dyDescent="0.3">
      <c r="B23" s="1" t="s">
        <v>14</v>
      </c>
      <c r="C23" s="1"/>
      <c r="D23" s="1"/>
    </row>
    <row r="25" spans="2:12" x14ac:dyDescent="0.3">
      <c r="B25" s="51"/>
      <c r="C25" s="51"/>
      <c r="D25" s="52">
        <f t="shared" ref="D25:L25" si="0">D21</f>
        <v>0</v>
      </c>
      <c r="E25" s="52">
        <f t="shared" si="0"/>
        <v>0</v>
      </c>
      <c r="F25" s="52">
        <f t="shared" si="0"/>
        <v>0</v>
      </c>
      <c r="G25" s="52">
        <f t="shared" si="0"/>
        <v>0</v>
      </c>
      <c r="H25" s="52">
        <f t="shared" si="0"/>
        <v>0</v>
      </c>
      <c r="I25" s="52">
        <f t="shared" si="0"/>
        <v>0</v>
      </c>
      <c r="J25" s="52">
        <f t="shared" si="0"/>
        <v>0</v>
      </c>
      <c r="K25" s="52">
        <f t="shared" si="0"/>
        <v>0</v>
      </c>
      <c r="L25" s="52">
        <f t="shared" si="0"/>
        <v>0</v>
      </c>
    </row>
    <row r="26" spans="2:12" x14ac:dyDescent="0.3">
      <c r="B26" s="51"/>
      <c r="C26" s="50" t="s">
        <v>66</v>
      </c>
      <c r="D26" s="50">
        <v>1</v>
      </c>
      <c r="E26" s="50">
        <v>2</v>
      </c>
      <c r="F26" s="50">
        <v>3</v>
      </c>
      <c r="G26" s="50">
        <v>4</v>
      </c>
      <c r="H26" s="50">
        <v>5</v>
      </c>
      <c r="I26" s="50">
        <v>6</v>
      </c>
      <c r="J26" s="50">
        <v>7</v>
      </c>
      <c r="K26" s="50">
        <v>8</v>
      </c>
      <c r="L26" s="50">
        <v>9</v>
      </c>
    </row>
    <row r="27" spans="2:12" x14ac:dyDescent="0.3">
      <c r="B27" s="53">
        <f>D21</f>
        <v>0</v>
      </c>
      <c r="C27" s="50">
        <v>1</v>
      </c>
      <c r="D27" s="95">
        <f>D9</f>
        <v>0</v>
      </c>
      <c r="E27" s="95">
        <f t="shared" ref="E27:L27" si="1">E9</f>
        <v>0</v>
      </c>
      <c r="F27" s="95">
        <f t="shared" si="1"/>
        <v>0</v>
      </c>
      <c r="G27" s="95">
        <f t="shared" si="1"/>
        <v>0</v>
      </c>
      <c r="H27" s="95">
        <f t="shared" si="1"/>
        <v>0</v>
      </c>
      <c r="I27" s="95">
        <f t="shared" si="1"/>
        <v>0</v>
      </c>
      <c r="J27" s="95">
        <f t="shared" si="1"/>
        <v>0</v>
      </c>
      <c r="K27" s="95">
        <f t="shared" si="1"/>
        <v>0</v>
      </c>
      <c r="L27" s="95">
        <f t="shared" si="1"/>
        <v>0</v>
      </c>
    </row>
    <row r="28" spans="2:12" x14ac:dyDescent="0.3">
      <c r="B28" s="53">
        <f>E21</f>
        <v>0</v>
      </c>
      <c r="C28" s="50">
        <v>2</v>
      </c>
      <c r="D28" s="95">
        <f t="shared" ref="D28:L35" si="2">D10</f>
        <v>0</v>
      </c>
      <c r="E28" s="95">
        <f t="shared" si="2"/>
        <v>0</v>
      </c>
      <c r="F28" s="95">
        <f t="shared" si="2"/>
        <v>0</v>
      </c>
      <c r="G28" s="95">
        <f t="shared" si="2"/>
        <v>0</v>
      </c>
      <c r="H28" s="95">
        <f t="shared" si="2"/>
        <v>0</v>
      </c>
      <c r="I28" s="95">
        <f t="shared" si="2"/>
        <v>0</v>
      </c>
      <c r="J28" s="95">
        <f t="shared" si="2"/>
        <v>0</v>
      </c>
      <c r="K28" s="95">
        <f t="shared" si="2"/>
        <v>0</v>
      </c>
      <c r="L28" s="95">
        <f t="shared" si="2"/>
        <v>0</v>
      </c>
    </row>
    <row r="29" spans="2:12" x14ac:dyDescent="0.3">
      <c r="B29" s="53">
        <f>F21</f>
        <v>0</v>
      </c>
      <c r="C29" s="50">
        <v>3</v>
      </c>
      <c r="D29" s="95">
        <f t="shared" si="2"/>
        <v>0</v>
      </c>
      <c r="E29" s="95">
        <f t="shared" si="2"/>
        <v>0</v>
      </c>
      <c r="F29" s="95">
        <f t="shared" si="2"/>
        <v>0</v>
      </c>
      <c r="G29" s="95">
        <f t="shared" si="2"/>
        <v>0</v>
      </c>
      <c r="H29" s="95">
        <f t="shared" si="2"/>
        <v>0</v>
      </c>
      <c r="I29" s="95">
        <f t="shared" si="2"/>
        <v>0</v>
      </c>
      <c r="J29" s="95">
        <f t="shared" si="2"/>
        <v>0</v>
      </c>
      <c r="K29" s="95">
        <f t="shared" si="2"/>
        <v>0</v>
      </c>
      <c r="L29" s="95">
        <f t="shared" si="2"/>
        <v>0</v>
      </c>
    </row>
    <row r="30" spans="2:12" x14ac:dyDescent="0.3">
      <c r="B30" s="53">
        <f>G21</f>
        <v>0</v>
      </c>
      <c r="C30" s="50">
        <v>4</v>
      </c>
      <c r="D30" s="95">
        <f t="shared" si="2"/>
        <v>0</v>
      </c>
      <c r="E30" s="95">
        <f t="shared" si="2"/>
        <v>0</v>
      </c>
      <c r="F30" s="95">
        <f t="shared" si="2"/>
        <v>0</v>
      </c>
      <c r="G30" s="95">
        <f t="shared" si="2"/>
        <v>0</v>
      </c>
      <c r="H30" s="95">
        <f t="shared" si="2"/>
        <v>0</v>
      </c>
      <c r="I30" s="95">
        <f t="shared" si="2"/>
        <v>0</v>
      </c>
      <c r="J30" s="95">
        <f t="shared" si="2"/>
        <v>0</v>
      </c>
      <c r="K30" s="95">
        <f t="shared" si="2"/>
        <v>0</v>
      </c>
      <c r="L30" s="95">
        <f t="shared" si="2"/>
        <v>0</v>
      </c>
    </row>
    <row r="31" spans="2:12" x14ac:dyDescent="0.3">
      <c r="B31" s="53">
        <f>H21</f>
        <v>0</v>
      </c>
      <c r="C31" s="50">
        <v>5</v>
      </c>
      <c r="D31" s="95">
        <f t="shared" si="2"/>
        <v>0</v>
      </c>
      <c r="E31" s="95">
        <f t="shared" si="2"/>
        <v>0</v>
      </c>
      <c r="F31" s="95">
        <f t="shared" si="2"/>
        <v>0</v>
      </c>
      <c r="G31" s="95">
        <f t="shared" si="2"/>
        <v>0</v>
      </c>
      <c r="H31" s="95">
        <f t="shared" si="2"/>
        <v>0</v>
      </c>
      <c r="I31" s="95">
        <f t="shared" si="2"/>
        <v>0</v>
      </c>
      <c r="J31" s="95">
        <f t="shared" si="2"/>
        <v>0</v>
      </c>
      <c r="K31" s="95">
        <f t="shared" si="2"/>
        <v>0</v>
      </c>
      <c r="L31" s="95">
        <f t="shared" si="2"/>
        <v>0</v>
      </c>
    </row>
    <row r="32" spans="2:12" x14ac:dyDescent="0.3">
      <c r="B32" s="53">
        <f>I21</f>
        <v>0</v>
      </c>
      <c r="C32" s="50">
        <v>6</v>
      </c>
      <c r="D32" s="95">
        <f t="shared" si="2"/>
        <v>0</v>
      </c>
      <c r="E32" s="95">
        <f t="shared" si="2"/>
        <v>0</v>
      </c>
      <c r="F32" s="95">
        <f t="shared" si="2"/>
        <v>0</v>
      </c>
      <c r="G32" s="95">
        <f t="shared" si="2"/>
        <v>0</v>
      </c>
      <c r="H32" s="95">
        <f t="shared" si="2"/>
        <v>0</v>
      </c>
      <c r="I32" s="95">
        <f t="shared" si="2"/>
        <v>0</v>
      </c>
      <c r="J32" s="95">
        <f t="shared" si="2"/>
        <v>0</v>
      </c>
      <c r="K32" s="95">
        <f t="shared" si="2"/>
        <v>0</v>
      </c>
      <c r="L32" s="95">
        <f t="shared" si="2"/>
        <v>0</v>
      </c>
    </row>
    <row r="33" spans="2:12" x14ac:dyDescent="0.3">
      <c r="B33" s="53">
        <f>J21</f>
        <v>0</v>
      </c>
      <c r="C33" s="50">
        <v>7</v>
      </c>
      <c r="D33" s="95">
        <f t="shared" si="2"/>
        <v>0</v>
      </c>
      <c r="E33" s="95">
        <f t="shared" si="2"/>
        <v>0</v>
      </c>
      <c r="F33" s="95">
        <f t="shared" si="2"/>
        <v>0</v>
      </c>
      <c r="G33" s="95">
        <f t="shared" si="2"/>
        <v>0</v>
      </c>
      <c r="H33" s="95">
        <f t="shared" si="2"/>
        <v>0</v>
      </c>
      <c r="I33" s="95">
        <f t="shared" si="2"/>
        <v>0</v>
      </c>
      <c r="J33" s="95">
        <f t="shared" si="2"/>
        <v>0</v>
      </c>
      <c r="K33" s="95">
        <f t="shared" si="2"/>
        <v>0</v>
      </c>
      <c r="L33" s="95">
        <f t="shared" si="2"/>
        <v>0</v>
      </c>
    </row>
    <row r="34" spans="2:12" x14ac:dyDescent="0.3">
      <c r="B34" s="53">
        <f>K21</f>
        <v>0</v>
      </c>
      <c r="C34" s="50">
        <v>8</v>
      </c>
      <c r="D34" s="95">
        <f t="shared" si="2"/>
        <v>0</v>
      </c>
      <c r="E34" s="95">
        <f t="shared" si="2"/>
        <v>0</v>
      </c>
      <c r="F34" s="95">
        <f t="shared" si="2"/>
        <v>0</v>
      </c>
      <c r="G34" s="95">
        <f t="shared" si="2"/>
        <v>0</v>
      </c>
      <c r="H34" s="95">
        <f t="shared" si="2"/>
        <v>0</v>
      </c>
      <c r="I34" s="95">
        <f t="shared" si="2"/>
        <v>0</v>
      </c>
      <c r="J34" s="95">
        <f t="shared" si="2"/>
        <v>0</v>
      </c>
      <c r="K34" s="95">
        <f t="shared" si="2"/>
        <v>0</v>
      </c>
      <c r="L34" s="95">
        <f t="shared" si="2"/>
        <v>0</v>
      </c>
    </row>
    <row r="35" spans="2:12" x14ac:dyDescent="0.3">
      <c r="B35" s="53">
        <f>L21</f>
        <v>0</v>
      </c>
      <c r="C35" s="50">
        <v>9</v>
      </c>
      <c r="D35" s="95">
        <f t="shared" si="2"/>
        <v>0</v>
      </c>
      <c r="E35" s="95">
        <f t="shared" si="2"/>
        <v>0</v>
      </c>
      <c r="F35" s="95">
        <f t="shared" si="2"/>
        <v>0</v>
      </c>
      <c r="G35" s="95">
        <f t="shared" si="2"/>
        <v>0</v>
      </c>
      <c r="H35" s="95">
        <f t="shared" si="2"/>
        <v>0</v>
      </c>
      <c r="I35" s="95">
        <f t="shared" si="2"/>
        <v>0</v>
      </c>
      <c r="J35" s="95">
        <f t="shared" si="2"/>
        <v>0</v>
      </c>
      <c r="K35" s="95">
        <f t="shared" si="2"/>
        <v>0</v>
      </c>
      <c r="L35" s="95">
        <f t="shared" si="2"/>
        <v>0</v>
      </c>
    </row>
    <row r="37" spans="2:12" ht="41.4" x14ac:dyDescent="0.3">
      <c r="C37" s="50" t="s">
        <v>74</v>
      </c>
      <c r="D37" s="50">
        <v>1</v>
      </c>
      <c r="E37" s="50">
        <v>2</v>
      </c>
      <c r="F37" s="50">
        <v>3</v>
      </c>
      <c r="G37" s="50">
        <v>4</v>
      </c>
      <c r="H37" s="50">
        <v>5</v>
      </c>
      <c r="I37" s="50">
        <v>6</v>
      </c>
      <c r="J37" s="50">
        <v>7</v>
      </c>
      <c r="K37" s="50">
        <v>8</v>
      </c>
      <c r="L37" s="50">
        <v>9</v>
      </c>
    </row>
    <row r="38" spans="2:12" x14ac:dyDescent="0.3">
      <c r="C38" s="50">
        <v>1</v>
      </c>
      <c r="D38" s="54">
        <f>$B27*D$25*D27</f>
        <v>0</v>
      </c>
      <c r="E38" s="54">
        <f t="shared" ref="E38:L38" si="3">$B27*E$25*E27</f>
        <v>0</v>
      </c>
      <c r="F38" s="54">
        <f t="shared" si="3"/>
        <v>0</v>
      </c>
      <c r="G38" s="54">
        <f t="shared" si="3"/>
        <v>0</v>
      </c>
      <c r="H38" s="54">
        <f t="shared" si="3"/>
        <v>0</v>
      </c>
      <c r="I38" s="54">
        <f t="shared" si="3"/>
        <v>0</v>
      </c>
      <c r="J38" s="54">
        <f t="shared" si="3"/>
        <v>0</v>
      </c>
      <c r="K38" s="54">
        <f t="shared" si="3"/>
        <v>0</v>
      </c>
      <c r="L38" s="54">
        <f t="shared" si="3"/>
        <v>0</v>
      </c>
    </row>
    <row r="39" spans="2:12" x14ac:dyDescent="0.3">
      <c r="C39" s="50">
        <v>2</v>
      </c>
      <c r="D39" s="54">
        <f t="shared" ref="D39:L39" si="4">$B28*D$25*D28</f>
        <v>0</v>
      </c>
      <c r="E39" s="54">
        <f t="shared" si="4"/>
        <v>0</v>
      </c>
      <c r="F39" s="54">
        <f t="shared" si="4"/>
        <v>0</v>
      </c>
      <c r="G39" s="54">
        <f t="shared" si="4"/>
        <v>0</v>
      </c>
      <c r="H39" s="54">
        <f t="shared" si="4"/>
        <v>0</v>
      </c>
      <c r="I39" s="54">
        <f t="shared" si="4"/>
        <v>0</v>
      </c>
      <c r="J39" s="54">
        <f t="shared" si="4"/>
        <v>0</v>
      </c>
      <c r="K39" s="54">
        <f t="shared" si="4"/>
        <v>0</v>
      </c>
      <c r="L39" s="54">
        <f t="shared" si="4"/>
        <v>0</v>
      </c>
    </row>
    <row r="40" spans="2:12" x14ac:dyDescent="0.3">
      <c r="C40" s="50">
        <v>3</v>
      </c>
      <c r="D40" s="54">
        <f t="shared" ref="D40:L40" si="5">$B29*D$25*D29</f>
        <v>0</v>
      </c>
      <c r="E40" s="54">
        <f t="shared" si="5"/>
        <v>0</v>
      </c>
      <c r="F40" s="54">
        <f t="shared" si="5"/>
        <v>0</v>
      </c>
      <c r="G40" s="54">
        <f t="shared" si="5"/>
        <v>0</v>
      </c>
      <c r="H40" s="54">
        <f t="shared" si="5"/>
        <v>0</v>
      </c>
      <c r="I40" s="54">
        <f t="shared" si="5"/>
        <v>0</v>
      </c>
      <c r="J40" s="54">
        <f t="shared" si="5"/>
        <v>0</v>
      </c>
      <c r="K40" s="54">
        <f t="shared" si="5"/>
        <v>0</v>
      </c>
      <c r="L40" s="54">
        <f t="shared" si="5"/>
        <v>0</v>
      </c>
    </row>
    <row r="41" spans="2:12" x14ac:dyDescent="0.3">
      <c r="C41" s="50">
        <v>4</v>
      </c>
      <c r="D41" s="54">
        <f t="shared" ref="D41:L41" si="6">$B30*D$25*D30</f>
        <v>0</v>
      </c>
      <c r="E41" s="54">
        <f t="shared" si="6"/>
        <v>0</v>
      </c>
      <c r="F41" s="54">
        <f t="shared" si="6"/>
        <v>0</v>
      </c>
      <c r="G41" s="54">
        <f t="shared" si="6"/>
        <v>0</v>
      </c>
      <c r="H41" s="54">
        <f t="shared" si="6"/>
        <v>0</v>
      </c>
      <c r="I41" s="54">
        <f t="shared" si="6"/>
        <v>0</v>
      </c>
      <c r="J41" s="54">
        <f t="shared" si="6"/>
        <v>0</v>
      </c>
      <c r="K41" s="54">
        <f t="shared" si="6"/>
        <v>0</v>
      </c>
      <c r="L41" s="54">
        <f t="shared" si="6"/>
        <v>0</v>
      </c>
    </row>
    <row r="42" spans="2:12" x14ac:dyDescent="0.3">
      <c r="C42" s="50">
        <v>5</v>
      </c>
      <c r="D42" s="54">
        <f t="shared" ref="D42:L42" si="7">$B31*D$25*D31</f>
        <v>0</v>
      </c>
      <c r="E42" s="54">
        <f t="shared" si="7"/>
        <v>0</v>
      </c>
      <c r="F42" s="54">
        <f t="shared" si="7"/>
        <v>0</v>
      </c>
      <c r="G42" s="54">
        <f t="shared" si="7"/>
        <v>0</v>
      </c>
      <c r="H42" s="54">
        <f t="shared" si="7"/>
        <v>0</v>
      </c>
      <c r="I42" s="54">
        <f t="shared" si="7"/>
        <v>0</v>
      </c>
      <c r="J42" s="54">
        <f t="shared" si="7"/>
        <v>0</v>
      </c>
      <c r="K42" s="54">
        <f t="shared" si="7"/>
        <v>0</v>
      </c>
      <c r="L42" s="54">
        <f t="shared" si="7"/>
        <v>0</v>
      </c>
    </row>
    <row r="43" spans="2:12" x14ac:dyDescent="0.3">
      <c r="C43" s="50">
        <v>6</v>
      </c>
      <c r="D43" s="54">
        <f t="shared" ref="D43:L43" si="8">$B32*D$25*D32</f>
        <v>0</v>
      </c>
      <c r="E43" s="54">
        <f t="shared" si="8"/>
        <v>0</v>
      </c>
      <c r="F43" s="54">
        <f t="shared" si="8"/>
        <v>0</v>
      </c>
      <c r="G43" s="54">
        <f t="shared" si="8"/>
        <v>0</v>
      </c>
      <c r="H43" s="54">
        <f t="shared" si="8"/>
        <v>0</v>
      </c>
      <c r="I43" s="54">
        <f t="shared" si="8"/>
        <v>0</v>
      </c>
      <c r="J43" s="54">
        <f t="shared" si="8"/>
        <v>0</v>
      </c>
      <c r="K43" s="54">
        <f t="shared" si="8"/>
        <v>0</v>
      </c>
      <c r="L43" s="54">
        <f t="shared" si="8"/>
        <v>0</v>
      </c>
    </row>
    <row r="44" spans="2:12" x14ac:dyDescent="0.3">
      <c r="C44" s="50">
        <v>7</v>
      </c>
      <c r="D44" s="54">
        <f t="shared" ref="D44:L44" si="9">$B33*D$25*D33</f>
        <v>0</v>
      </c>
      <c r="E44" s="54">
        <f t="shared" si="9"/>
        <v>0</v>
      </c>
      <c r="F44" s="54">
        <f t="shared" si="9"/>
        <v>0</v>
      </c>
      <c r="G44" s="54">
        <f t="shared" si="9"/>
        <v>0</v>
      </c>
      <c r="H44" s="54">
        <f t="shared" si="9"/>
        <v>0</v>
      </c>
      <c r="I44" s="54">
        <f t="shared" si="9"/>
        <v>0</v>
      </c>
      <c r="J44" s="54">
        <f t="shared" si="9"/>
        <v>0</v>
      </c>
      <c r="K44" s="54">
        <f t="shared" si="9"/>
        <v>0</v>
      </c>
      <c r="L44" s="54">
        <f t="shared" si="9"/>
        <v>0</v>
      </c>
    </row>
    <row r="45" spans="2:12" x14ac:dyDescent="0.3">
      <c r="C45" s="50">
        <v>8</v>
      </c>
      <c r="D45" s="54">
        <f t="shared" ref="D45:L45" si="10">$B34*D$25*D34</f>
        <v>0</v>
      </c>
      <c r="E45" s="54">
        <f t="shared" si="10"/>
        <v>0</v>
      </c>
      <c r="F45" s="54">
        <f t="shared" si="10"/>
        <v>0</v>
      </c>
      <c r="G45" s="54">
        <f t="shared" si="10"/>
        <v>0</v>
      </c>
      <c r="H45" s="54">
        <f t="shared" si="10"/>
        <v>0</v>
      </c>
      <c r="I45" s="54">
        <f t="shared" si="10"/>
        <v>0</v>
      </c>
      <c r="J45" s="54">
        <f t="shared" si="10"/>
        <v>0</v>
      </c>
      <c r="K45" s="54">
        <f t="shared" si="10"/>
        <v>0</v>
      </c>
      <c r="L45" s="54">
        <f t="shared" si="10"/>
        <v>0</v>
      </c>
    </row>
    <row r="46" spans="2:12" x14ac:dyDescent="0.3">
      <c r="C46" s="50">
        <v>9</v>
      </c>
      <c r="D46" s="54">
        <f t="shared" ref="D46:L46" si="11">$B35*D$25*D35</f>
        <v>0</v>
      </c>
      <c r="E46" s="54">
        <f t="shared" si="11"/>
        <v>0</v>
      </c>
      <c r="F46" s="54">
        <f t="shared" si="11"/>
        <v>0</v>
      </c>
      <c r="G46" s="54">
        <f t="shared" si="11"/>
        <v>0</v>
      </c>
      <c r="H46" s="54">
        <f t="shared" si="11"/>
        <v>0</v>
      </c>
      <c r="I46" s="54">
        <f t="shared" si="11"/>
        <v>0</v>
      </c>
      <c r="J46" s="54">
        <f t="shared" si="11"/>
        <v>0</v>
      </c>
      <c r="K46" s="54">
        <f t="shared" si="11"/>
        <v>0</v>
      </c>
      <c r="L46" s="54">
        <f t="shared" si="11"/>
        <v>0</v>
      </c>
    </row>
    <row r="48" spans="2:12" x14ac:dyDescent="0.3">
      <c r="B48" s="129" t="s">
        <v>106</v>
      </c>
      <c r="C48" s="129"/>
      <c r="D48" s="107">
        <f>SQRT(SUM(D38:L46))</f>
        <v>0</v>
      </c>
    </row>
    <row r="49" spans="2:6" x14ac:dyDescent="0.3">
      <c r="B49" s="129"/>
      <c r="C49" s="129"/>
    </row>
    <row r="51" spans="2:6" x14ac:dyDescent="0.3">
      <c r="B51" s="1" t="s">
        <v>1</v>
      </c>
    </row>
    <row r="52" spans="2:6" ht="14.4" customHeight="1" x14ac:dyDescent="0.3"/>
    <row r="53" spans="2:6" x14ac:dyDescent="0.3">
      <c r="C53" s="105" t="s">
        <v>65</v>
      </c>
      <c r="D53" s="99">
        <f>SUMPRODUCT(D6:L6,D21:L21)</f>
        <v>0</v>
      </c>
    </row>
    <row r="55" spans="2:6" x14ac:dyDescent="0.3">
      <c r="B55" s="1" t="s">
        <v>2</v>
      </c>
    </row>
    <row r="56" spans="2:6" x14ac:dyDescent="0.3">
      <c r="B56" s="103" t="s">
        <v>3</v>
      </c>
      <c r="C56" s="103"/>
      <c r="D56" s="103" t="s">
        <v>4</v>
      </c>
    </row>
    <row r="57" spans="2:6" x14ac:dyDescent="0.3">
      <c r="B57" s="108">
        <f>D48</f>
        <v>0</v>
      </c>
      <c r="C57" s="4" t="s">
        <v>11</v>
      </c>
      <c r="D57" s="97">
        <v>0.03</v>
      </c>
      <c r="F57" s="1" t="s">
        <v>114</v>
      </c>
    </row>
    <row r="58" spans="2:6" x14ac:dyDescent="0.3">
      <c r="F58" s="1"/>
    </row>
    <row r="59" spans="2:6" x14ac:dyDescent="0.3">
      <c r="B59" s="94">
        <f>SUM(D21:L21)</f>
        <v>0</v>
      </c>
      <c r="C59" s="47" t="s">
        <v>68</v>
      </c>
      <c r="D59" s="97">
        <v>1</v>
      </c>
      <c r="F59" s="1" t="s">
        <v>69</v>
      </c>
    </row>
  </sheetData>
  <mergeCells count="1">
    <mergeCell ref="B48:C4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"/>
  <sheetViews>
    <sheetView showGridLines="0" topLeftCell="A24" workbookViewId="0">
      <selection activeCell="AL33" sqref="AL33"/>
    </sheetView>
  </sheetViews>
  <sheetFormatPr defaultColWidth="8.85546875" defaultRowHeight="14.4" x14ac:dyDescent="0.3"/>
  <cols>
    <col min="1" max="1" width="4.42578125" style="58" customWidth="1"/>
    <col min="2" max="2" width="8.85546875" style="58"/>
    <col min="3" max="3" width="14.28515625" style="58" customWidth="1"/>
    <col min="4" max="12" width="16.28515625" style="58" customWidth="1"/>
    <col min="13" max="16384" width="8.85546875" style="58"/>
  </cols>
  <sheetData>
    <row r="1" spans="1:17" ht="23.4" x14ac:dyDescent="0.3">
      <c r="A1" s="25"/>
      <c r="B1" s="7" t="s">
        <v>64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x14ac:dyDescent="0.3">
      <c r="A3" s="25"/>
      <c r="B3" s="25"/>
      <c r="C3" s="16" t="s">
        <v>10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3">
      <c r="A5" s="25"/>
      <c r="B5" s="25"/>
      <c r="C5" s="50" t="s">
        <v>62</v>
      </c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0">
        <v>6</v>
      </c>
      <c r="J5" s="50">
        <v>7</v>
      </c>
      <c r="K5" s="50">
        <v>8</v>
      </c>
      <c r="L5" s="50">
        <v>9</v>
      </c>
      <c r="M5" s="25"/>
      <c r="N5" s="25"/>
      <c r="O5" s="25"/>
      <c r="P5" s="25"/>
      <c r="Q5" s="25"/>
    </row>
    <row r="6" spans="1:17" x14ac:dyDescent="0.3">
      <c r="A6" s="25"/>
      <c r="B6" s="25"/>
      <c r="C6" s="50" t="s">
        <v>63</v>
      </c>
      <c r="D6" s="116">
        <f>'1. Minimise risk'!D6</f>
        <v>0</v>
      </c>
      <c r="E6" s="116">
        <f>'1. Minimise risk'!E6</f>
        <v>0</v>
      </c>
      <c r="F6" s="116">
        <f>'1. Minimise risk'!F6</f>
        <v>0</v>
      </c>
      <c r="G6" s="116">
        <f>'1. Minimise risk'!G6</f>
        <v>0</v>
      </c>
      <c r="H6" s="116">
        <f>'1. Minimise risk'!H6</f>
        <v>0</v>
      </c>
      <c r="I6" s="116">
        <f>'1. Minimise risk'!I6</f>
        <v>0</v>
      </c>
      <c r="J6" s="116">
        <f>'1. Minimise risk'!J6</f>
        <v>0</v>
      </c>
      <c r="K6" s="116">
        <f>'1. Minimise risk'!K6</f>
        <v>0</v>
      </c>
      <c r="L6" s="116">
        <f>'1. Minimise risk'!L6</f>
        <v>0</v>
      </c>
      <c r="M6" s="25"/>
      <c r="N6" s="25"/>
      <c r="O6" s="25"/>
      <c r="P6" s="25"/>
      <c r="Q6" s="25"/>
    </row>
    <row r="7" spans="1:17" ht="15" customHeight="1" x14ac:dyDescent="0.3">
      <c r="A7" s="25"/>
      <c r="B7" s="25"/>
      <c r="C7" s="25"/>
      <c r="D7" s="25"/>
      <c r="E7" s="25"/>
      <c r="F7" s="25"/>
      <c r="G7" s="44"/>
      <c r="H7" s="44"/>
      <c r="I7" s="44"/>
      <c r="J7" s="44"/>
      <c r="K7" s="44"/>
      <c r="L7" s="25"/>
      <c r="M7" s="25"/>
      <c r="N7" s="25"/>
      <c r="O7" s="25"/>
      <c r="P7" s="25"/>
      <c r="Q7" s="25"/>
    </row>
    <row r="8" spans="1:17" ht="15" customHeight="1" x14ac:dyDescent="0.3">
      <c r="A8" s="25"/>
      <c r="B8" s="25"/>
      <c r="C8" s="50" t="s">
        <v>66</v>
      </c>
      <c r="D8" s="50">
        <v>1</v>
      </c>
      <c r="E8" s="50">
        <v>2</v>
      </c>
      <c r="F8" s="50">
        <v>3</v>
      </c>
      <c r="G8" s="50">
        <v>4</v>
      </c>
      <c r="H8" s="50">
        <v>5</v>
      </c>
      <c r="I8" s="50">
        <v>6</v>
      </c>
      <c r="J8" s="50">
        <v>7</v>
      </c>
      <c r="K8" s="50">
        <v>8</v>
      </c>
      <c r="L8" s="50">
        <v>9</v>
      </c>
      <c r="M8" s="25"/>
      <c r="N8" s="25"/>
      <c r="O8" s="25"/>
      <c r="P8" s="25"/>
      <c r="Q8" s="25"/>
    </row>
    <row r="9" spans="1:17" ht="15" customHeight="1" x14ac:dyDescent="0.3">
      <c r="A9" s="25"/>
      <c r="B9" s="25"/>
      <c r="C9" s="50">
        <v>1</v>
      </c>
      <c r="D9" s="95">
        <f>'1. Minimise risk'!D9</f>
        <v>0</v>
      </c>
      <c r="E9" s="95">
        <f>'1. Minimise risk'!E9</f>
        <v>0</v>
      </c>
      <c r="F9" s="95">
        <f>'1. Minimise risk'!F9</f>
        <v>0</v>
      </c>
      <c r="G9" s="95">
        <f>'1. Minimise risk'!G9</f>
        <v>0</v>
      </c>
      <c r="H9" s="95">
        <f>'1. Minimise risk'!H9</f>
        <v>0</v>
      </c>
      <c r="I9" s="95">
        <f>'1. Minimise risk'!I9</f>
        <v>0</v>
      </c>
      <c r="J9" s="95">
        <f>'1. Minimise risk'!J9</f>
        <v>0</v>
      </c>
      <c r="K9" s="95">
        <f>'1. Minimise risk'!K9</f>
        <v>0</v>
      </c>
      <c r="L9" s="95">
        <f>'1. Minimise risk'!L9</f>
        <v>0</v>
      </c>
      <c r="M9" s="25"/>
      <c r="N9" s="25"/>
      <c r="O9" s="25"/>
      <c r="P9" s="25"/>
      <c r="Q9" s="25"/>
    </row>
    <row r="10" spans="1:17" ht="15" customHeight="1" x14ac:dyDescent="0.3">
      <c r="A10" s="25"/>
      <c r="B10" s="25"/>
      <c r="C10" s="50">
        <v>2</v>
      </c>
      <c r="D10" s="95">
        <f>'1. Minimise risk'!D10</f>
        <v>0</v>
      </c>
      <c r="E10" s="95">
        <f>'1. Minimise risk'!E10</f>
        <v>0</v>
      </c>
      <c r="F10" s="95">
        <f>'1. Minimise risk'!F10</f>
        <v>0</v>
      </c>
      <c r="G10" s="95">
        <f>'1. Minimise risk'!G10</f>
        <v>0</v>
      </c>
      <c r="H10" s="95">
        <f>'1. Minimise risk'!H10</f>
        <v>0</v>
      </c>
      <c r="I10" s="95">
        <f>'1. Minimise risk'!I10</f>
        <v>0</v>
      </c>
      <c r="J10" s="95">
        <f>'1. Minimise risk'!J10</f>
        <v>0</v>
      </c>
      <c r="K10" s="95">
        <f>'1. Minimise risk'!K10</f>
        <v>0</v>
      </c>
      <c r="L10" s="95">
        <f>'1. Minimise risk'!L10</f>
        <v>0</v>
      </c>
      <c r="M10" s="25"/>
      <c r="N10" s="25"/>
      <c r="O10" s="25"/>
      <c r="P10" s="25"/>
      <c r="Q10" s="25"/>
    </row>
    <row r="11" spans="1:17" ht="15" customHeight="1" x14ac:dyDescent="0.3">
      <c r="A11" s="25"/>
      <c r="B11" s="25"/>
      <c r="C11" s="50">
        <v>3</v>
      </c>
      <c r="D11" s="95">
        <f>'1. Minimise risk'!D11</f>
        <v>0</v>
      </c>
      <c r="E11" s="95">
        <f>'1. Minimise risk'!E11</f>
        <v>0</v>
      </c>
      <c r="F11" s="95">
        <f>'1. Minimise risk'!F11</f>
        <v>0</v>
      </c>
      <c r="G11" s="95">
        <f>'1. Minimise risk'!G11</f>
        <v>0</v>
      </c>
      <c r="H11" s="95">
        <f>'1. Minimise risk'!H11</f>
        <v>0</v>
      </c>
      <c r="I11" s="95">
        <f>'1. Minimise risk'!I11</f>
        <v>0</v>
      </c>
      <c r="J11" s="95">
        <f>'1. Minimise risk'!J11</f>
        <v>0</v>
      </c>
      <c r="K11" s="95">
        <f>'1. Minimise risk'!K11</f>
        <v>0</v>
      </c>
      <c r="L11" s="95">
        <f>'1. Minimise risk'!L11</f>
        <v>0</v>
      </c>
      <c r="M11" s="25"/>
      <c r="N11" s="25"/>
      <c r="O11" s="25"/>
      <c r="P11" s="25"/>
      <c r="Q11" s="25"/>
    </row>
    <row r="12" spans="1:17" ht="15" customHeight="1" x14ac:dyDescent="0.3">
      <c r="A12" s="25"/>
      <c r="B12" s="25"/>
      <c r="C12" s="50">
        <v>4</v>
      </c>
      <c r="D12" s="95">
        <f>'1. Minimise risk'!D12</f>
        <v>0</v>
      </c>
      <c r="E12" s="95">
        <f>'1. Minimise risk'!E12</f>
        <v>0</v>
      </c>
      <c r="F12" s="95">
        <f>'1. Minimise risk'!F12</f>
        <v>0</v>
      </c>
      <c r="G12" s="95">
        <f>'1. Minimise risk'!G12</f>
        <v>0</v>
      </c>
      <c r="H12" s="95">
        <f>'1. Minimise risk'!H12</f>
        <v>0</v>
      </c>
      <c r="I12" s="95">
        <f>'1. Minimise risk'!I12</f>
        <v>0</v>
      </c>
      <c r="J12" s="95">
        <f>'1. Minimise risk'!J12</f>
        <v>0</v>
      </c>
      <c r="K12" s="95">
        <f>'1. Minimise risk'!K12</f>
        <v>0</v>
      </c>
      <c r="L12" s="95">
        <f>'1. Minimise risk'!L12</f>
        <v>0</v>
      </c>
      <c r="M12" s="25"/>
      <c r="N12" s="25"/>
      <c r="O12" s="25"/>
      <c r="P12" s="25"/>
      <c r="Q12" s="25"/>
    </row>
    <row r="13" spans="1:17" x14ac:dyDescent="0.3">
      <c r="A13" s="25"/>
      <c r="B13" s="25"/>
      <c r="C13" s="50">
        <v>5</v>
      </c>
      <c r="D13" s="95">
        <f>'1. Minimise risk'!D13</f>
        <v>0</v>
      </c>
      <c r="E13" s="95">
        <f>'1. Minimise risk'!E13</f>
        <v>0</v>
      </c>
      <c r="F13" s="95">
        <f>'1. Minimise risk'!F13</f>
        <v>0</v>
      </c>
      <c r="G13" s="95">
        <f>'1. Minimise risk'!G13</f>
        <v>0</v>
      </c>
      <c r="H13" s="95">
        <f>'1. Minimise risk'!H13</f>
        <v>0</v>
      </c>
      <c r="I13" s="95">
        <f>'1. Minimise risk'!I13</f>
        <v>0</v>
      </c>
      <c r="J13" s="95">
        <f>'1. Minimise risk'!J13</f>
        <v>0</v>
      </c>
      <c r="K13" s="95">
        <f>'1. Minimise risk'!K13</f>
        <v>0</v>
      </c>
      <c r="L13" s="95">
        <f>'1. Minimise risk'!L13</f>
        <v>0</v>
      </c>
      <c r="M13" s="25"/>
      <c r="N13" s="25"/>
      <c r="O13" s="25"/>
      <c r="P13" s="25"/>
      <c r="Q13" s="25"/>
    </row>
    <row r="14" spans="1:17" ht="15" customHeight="1" x14ac:dyDescent="0.3">
      <c r="A14" s="25"/>
      <c r="B14" s="25"/>
      <c r="C14" s="50">
        <v>6</v>
      </c>
      <c r="D14" s="95">
        <f>'1. Minimise risk'!D14</f>
        <v>0</v>
      </c>
      <c r="E14" s="95">
        <f>'1. Minimise risk'!E14</f>
        <v>0</v>
      </c>
      <c r="F14" s="95">
        <f>'1. Minimise risk'!F14</f>
        <v>0</v>
      </c>
      <c r="G14" s="95">
        <f>'1. Minimise risk'!G14</f>
        <v>0</v>
      </c>
      <c r="H14" s="95">
        <f>'1. Minimise risk'!H14</f>
        <v>0</v>
      </c>
      <c r="I14" s="95">
        <f>'1. Minimise risk'!I14</f>
        <v>0</v>
      </c>
      <c r="J14" s="95">
        <f>'1. Minimise risk'!J14</f>
        <v>0</v>
      </c>
      <c r="K14" s="95">
        <f>'1. Minimise risk'!K14</f>
        <v>0</v>
      </c>
      <c r="L14" s="95">
        <f>'1. Minimise risk'!L14</f>
        <v>0</v>
      </c>
      <c r="M14" s="25"/>
      <c r="N14" s="25"/>
      <c r="O14" s="25"/>
      <c r="P14" s="25"/>
      <c r="Q14" s="25"/>
    </row>
    <row r="15" spans="1:17" ht="15" customHeight="1" x14ac:dyDescent="0.3">
      <c r="A15" s="25"/>
      <c r="B15" s="25"/>
      <c r="C15" s="50">
        <v>7</v>
      </c>
      <c r="D15" s="95">
        <f>'1. Minimise risk'!D15</f>
        <v>0</v>
      </c>
      <c r="E15" s="95">
        <f>'1. Minimise risk'!E15</f>
        <v>0</v>
      </c>
      <c r="F15" s="95">
        <f>'1. Minimise risk'!F15</f>
        <v>0</v>
      </c>
      <c r="G15" s="95">
        <f>'1. Minimise risk'!G15</f>
        <v>0</v>
      </c>
      <c r="H15" s="95">
        <f>'1. Minimise risk'!H15</f>
        <v>0</v>
      </c>
      <c r="I15" s="95">
        <f>'1. Minimise risk'!I15</f>
        <v>0</v>
      </c>
      <c r="J15" s="95">
        <f>'1. Minimise risk'!J15</f>
        <v>0</v>
      </c>
      <c r="K15" s="95">
        <f>'1. Minimise risk'!K15</f>
        <v>0</v>
      </c>
      <c r="L15" s="95">
        <f>'1. Minimise risk'!L15</f>
        <v>0</v>
      </c>
      <c r="M15" s="25"/>
      <c r="N15" s="25"/>
      <c r="O15" s="25"/>
      <c r="P15" s="25"/>
      <c r="Q15" s="25"/>
    </row>
    <row r="16" spans="1:17" ht="15" customHeight="1" x14ac:dyDescent="0.3">
      <c r="A16" s="25"/>
      <c r="B16" s="25"/>
      <c r="C16" s="50">
        <v>8</v>
      </c>
      <c r="D16" s="95">
        <f>'1. Minimise risk'!D16</f>
        <v>0</v>
      </c>
      <c r="E16" s="95">
        <f>'1. Minimise risk'!E16</f>
        <v>0</v>
      </c>
      <c r="F16" s="95">
        <f>'1. Minimise risk'!F16</f>
        <v>0</v>
      </c>
      <c r="G16" s="95">
        <f>'1. Minimise risk'!G16</f>
        <v>0</v>
      </c>
      <c r="H16" s="95">
        <f>'1. Minimise risk'!H16</f>
        <v>0</v>
      </c>
      <c r="I16" s="95">
        <f>'1. Minimise risk'!I16</f>
        <v>0</v>
      </c>
      <c r="J16" s="95">
        <f>'1. Minimise risk'!J16</f>
        <v>0</v>
      </c>
      <c r="K16" s="95">
        <f>'1. Minimise risk'!K16</f>
        <v>0</v>
      </c>
      <c r="L16" s="95">
        <f>'1. Minimise risk'!L16</f>
        <v>0</v>
      </c>
      <c r="M16" s="25"/>
      <c r="N16" s="25"/>
      <c r="O16" s="25"/>
      <c r="P16" s="25"/>
      <c r="Q16" s="25"/>
    </row>
    <row r="17" spans="1:17" ht="15" customHeight="1" x14ac:dyDescent="0.3">
      <c r="A17" s="25"/>
      <c r="B17" s="25"/>
      <c r="C17" s="50">
        <v>9</v>
      </c>
      <c r="D17" s="95">
        <f>'1. Minimise risk'!D17</f>
        <v>0</v>
      </c>
      <c r="E17" s="95">
        <f>'1. Minimise risk'!E17</f>
        <v>0</v>
      </c>
      <c r="F17" s="95">
        <f>'1. Minimise risk'!F17</f>
        <v>0</v>
      </c>
      <c r="G17" s="95">
        <f>'1. Minimise risk'!G17</f>
        <v>0</v>
      </c>
      <c r="H17" s="95">
        <f>'1. Minimise risk'!H17</f>
        <v>0</v>
      </c>
      <c r="I17" s="95">
        <f>'1. Minimise risk'!I17</f>
        <v>0</v>
      </c>
      <c r="J17" s="95">
        <f>'1. Minimise risk'!J17</f>
        <v>0</v>
      </c>
      <c r="K17" s="95">
        <f>'1. Minimise risk'!K17</f>
        <v>0</v>
      </c>
      <c r="L17" s="95">
        <f>'1. Minimise risk'!L17</f>
        <v>0</v>
      </c>
      <c r="M17" s="25"/>
      <c r="N17" s="25"/>
      <c r="O17" s="25"/>
      <c r="P17" s="25"/>
      <c r="Q17" s="25"/>
    </row>
    <row r="18" spans="1:17" ht="15" customHeight="1" x14ac:dyDescent="0.3">
      <c r="A18" s="25"/>
      <c r="B18" s="25"/>
      <c r="C18" s="25"/>
      <c r="D18" s="25"/>
      <c r="E18" s="25"/>
      <c r="F18" s="25"/>
      <c r="G18" s="44"/>
      <c r="H18" s="44"/>
      <c r="I18" s="44"/>
      <c r="J18" s="44"/>
      <c r="K18" s="44"/>
      <c r="L18" s="25"/>
      <c r="M18" s="25"/>
      <c r="N18" s="25"/>
      <c r="O18" s="25"/>
      <c r="P18" s="25"/>
      <c r="Q18" s="25"/>
    </row>
    <row r="19" spans="1:17" ht="15" customHeight="1" x14ac:dyDescent="0.3">
      <c r="A19" s="25"/>
      <c r="B19" s="1" t="s">
        <v>0</v>
      </c>
      <c r="C19" s="25"/>
      <c r="D19" s="1"/>
      <c r="E19" s="1"/>
      <c r="F19" s="25"/>
      <c r="G19" s="25"/>
      <c r="H19" s="48"/>
      <c r="I19" s="25"/>
      <c r="J19" s="25"/>
      <c r="K19" s="25"/>
      <c r="L19" s="25"/>
      <c r="M19" s="25"/>
      <c r="N19" s="25"/>
      <c r="O19" s="25"/>
      <c r="P19" s="25"/>
      <c r="Q19" s="25"/>
    </row>
    <row r="20" spans="1:17" x14ac:dyDescent="0.3">
      <c r="A20" s="25"/>
      <c r="B20" s="25"/>
      <c r="C20" s="25"/>
      <c r="D20" s="103" t="s">
        <v>71</v>
      </c>
      <c r="E20" s="103" t="s">
        <v>72</v>
      </c>
      <c r="F20" s="103" t="s">
        <v>73</v>
      </c>
      <c r="G20" s="103" t="s">
        <v>99</v>
      </c>
      <c r="H20" s="103" t="s">
        <v>100</v>
      </c>
      <c r="I20" s="103" t="s">
        <v>101</v>
      </c>
      <c r="J20" s="103" t="s">
        <v>102</v>
      </c>
      <c r="K20" s="103" t="s">
        <v>103</v>
      </c>
      <c r="L20" s="103" t="s">
        <v>104</v>
      </c>
      <c r="M20" s="25"/>
      <c r="N20" s="25"/>
      <c r="O20" s="25"/>
      <c r="P20" s="25"/>
      <c r="Q20" s="25"/>
    </row>
    <row r="21" spans="1:17" ht="28.8" x14ac:dyDescent="0.3">
      <c r="A21" s="25"/>
      <c r="B21" s="25"/>
      <c r="C21" s="104" t="s">
        <v>70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25"/>
      <c r="N21" s="25"/>
      <c r="O21" s="25"/>
      <c r="P21" s="25"/>
      <c r="Q21" s="25"/>
    </row>
    <row r="22" spans="1:17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spans="1:17" x14ac:dyDescent="0.3">
      <c r="A23" s="25"/>
      <c r="B23" s="1" t="s">
        <v>14</v>
      </c>
      <c r="C23" s="1"/>
      <c r="D23" s="1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1:17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7" x14ac:dyDescent="0.3">
      <c r="A25" s="25"/>
      <c r="B25" s="51"/>
      <c r="C25" s="51"/>
      <c r="D25" s="52">
        <f t="shared" ref="D25:L25" si="0">D21</f>
        <v>0</v>
      </c>
      <c r="E25" s="52">
        <f t="shared" si="0"/>
        <v>0</v>
      </c>
      <c r="F25" s="52">
        <f t="shared" si="0"/>
        <v>0</v>
      </c>
      <c r="G25" s="52">
        <f t="shared" si="0"/>
        <v>0</v>
      </c>
      <c r="H25" s="52">
        <f t="shared" si="0"/>
        <v>0</v>
      </c>
      <c r="I25" s="52">
        <f t="shared" si="0"/>
        <v>0</v>
      </c>
      <c r="J25" s="52">
        <f t="shared" si="0"/>
        <v>0</v>
      </c>
      <c r="K25" s="52">
        <f t="shared" si="0"/>
        <v>0</v>
      </c>
      <c r="L25" s="52">
        <f t="shared" si="0"/>
        <v>0</v>
      </c>
      <c r="M25" s="25"/>
      <c r="N25" s="25"/>
      <c r="O25" s="25"/>
      <c r="P25" s="25"/>
      <c r="Q25" s="25"/>
    </row>
    <row r="26" spans="1:17" x14ac:dyDescent="0.3">
      <c r="A26" s="25"/>
      <c r="B26" s="51"/>
      <c r="C26" s="50" t="s">
        <v>66</v>
      </c>
      <c r="D26" s="50">
        <v>1</v>
      </c>
      <c r="E26" s="50">
        <v>2</v>
      </c>
      <c r="F26" s="50">
        <v>3</v>
      </c>
      <c r="G26" s="50">
        <v>4</v>
      </c>
      <c r="H26" s="50">
        <v>5</v>
      </c>
      <c r="I26" s="50">
        <v>6</v>
      </c>
      <c r="J26" s="50">
        <v>7</v>
      </c>
      <c r="K26" s="50">
        <v>8</v>
      </c>
      <c r="L26" s="50">
        <v>9</v>
      </c>
      <c r="M26" s="25"/>
      <c r="N26" s="25"/>
      <c r="O26" s="25"/>
      <c r="P26" s="25"/>
      <c r="Q26" s="25"/>
    </row>
    <row r="27" spans="1:17" x14ac:dyDescent="0.3">
      <c r="A27" s="25"/>
      <c r="B27" s="53">
        <f>D21</f>
        <v>0</v>
      </c>
      <c r="C27" s="50">
        <v>1</v>
      </c>
      <c r="D27" s="95">
        <f>D9</f>
        <v>0</v>
      </c>
      <c r="E27" s="95">
        <f t="shared" ref="E27:L27" si="1">E9</f>
        <v>0</v>
      </c>
      <c r="F27" s="95">
        <f t="shared" si="1"/>
        <v>0</v>
      </c>
      <c r="G27" s="95">
        <f t="shared" si="1"/>
        <v>0</v>
      </c>
      <c r="H27" s="95">
        <f t="shared" si="1"/>
        <v>0</v>
      </c>
      <c r="I27" s="95">
        <f t="shared" si="1"/>
        <v>0</v>
      </c>
      <c r="J27" s="95">
        <f t="shared" si="1"/>
        <v>0</v>
      </c>
      <c r="K27" s="95">
        <f t="shared" si="1"/>
        <v>0</v>
      </c>
      <c r="L27" s="95">
        <f t="shared" si="1"/>
        <v>0</v>
      </c>
      <c r="M27" s="25"/>
      <c r="N27" s="25"/>
      <c r="O27" s="25"/>
      <c r="P27" s="25"/>
      <c r="Q27" s="25"/>
    </row>
    <row r="28" spans="1:17" x14ac:dyDescent="0.3">
      <c r="A28" s="25"/>
      <c r="B28" s="53">
        <f>E21</f>
        <v>0</v>
      </c>
      <c r="C28" s="50">
        <v>2</v>
      </c>
      <c r="D28" s="95">
        <f t="shared" ref="D28:L35" si="2">D10</f>
        <v>0</v>
      </c>
      <c r="E28" s="95">
        <f t="shared" si="2"/>
        <v>0</v>
      </c>
      <c r="F28" s="95">
        <f t="shared" si="2"/>
        <v>0</v>
      </c>
      <c r="G28" s="95">
        <f t="shared" si="2"/>
        <v>0</v>
      </c>
      <c r="H28" s="95">
        <f t="shared" si="2"/>
        <v>0</v>
      </c>
      <c r="I28" s="95">
        <f t="shared" si="2"/>
        <v>0</v>
      </c>
      <c r="J28" s="95">
        <f t="shared" si="2"/>
        <v>0</v>
      </c>
      <c r="K28" s="95">
        <f t="shared" si="2"/>
        <v>0</v>
      </c>
      <c r="L28" s="95">
        <f t="shared" si="2"/>
        <v>0</v>
      </c>
      <c r="M28" s="25"/>
      <c r="N28" s="25"/>
      <c r="O28" s="25"/>
      <c r="P28" s="25"/>
      <c r="Q28" s="25"/>
    </row>
    <row r="29" spans="1:17" x14ac:dyDescent="0.3">
      <c r="A29" s="25"/>
      <c r="B29" s="53">
        <f>F21</f>
        <v>0</v>
      </c>
      <c r="C29" s="50">
        <v>3</v>
      </c>
      <c r="D29" s="95">
        <f t="shared" si="2"/>
        <v>0</v>
      </c>
      <c r="E29" s="95">
        <f t="shared" si="2"/>
        <v>0</v>
      </c>
      <c r="F29" s="95">
        <f t="shared" si="2"/>
        <v>0</v>
      </c>
      <c r="G29" s="95">
        <f t="shared" si="2"/>
        <v>0</v>
      </c>
      <c r="H29" s="95">
        <f t="shared" si="2"/>
        <v>0</v>
      </c>
      <c r="I29" s="95">
        <f t="shared" si="2"/>
        <v>0</v>
      </c>
      <c r="J29" s="95">
        <f t="shared" si="2"/>
        <v>0</v>
      </c>
      <c r="K29" s="95">
        <f t="shared" si="2"/>
        <v>0</v>
      </c>
      <c r="L29" s="95">
        <f t="shared" si="2"/>
        <v>0</v>
      </c>
      <c r="M29" s="25"/>
      <c r="N29" s="25"/>
      <c r="O29" s="25"/>
      <c r="P29" s="25"/>
      <c r="Q29" s="25"/>
    </row>
    <row r="30" spans="1:17" x14ac:dyDescent="0.3">
      <c r="A30" s="25"/>
      <c r="B30" s="53">
        <f>G21</f>
        <v>0</v>
      </c>
      <c r="C30" s="50">
        <v>4</v>
      </c>
      <c r="D30" s="95">
        <f t="shared" si="2"/>
        <v>0</v>
      </c>
      <c r="E30" s="95">
        <f t="shared" si="2"/>
        <v>0</v>
      </c>
      <c r="F30" s="95">
        <f t="shared" si="2"/>
        <v>0</v>
      </c>
      <c r="G30" s="95">
        <f t="shared" si="2"/>
        <v>0</v>
      </c>
      <c r="H30" s="95">
        <f t="shared" si="2"/>
        <v>0</v>
      </c>
      <c r="I30" s="95">
        <f t="shared" si="2"/>
        <v>0</v>
      </c>
      <c r="J30" s="95">
        <f t="shared" si="2"/>
        <v>0</v>
      </c>
      <c r="K30" s="95">
        <f t="shared" si="2"/>
        <v>0</v>
      </c>
      <c r="L30" s="95">
        <f t="shared" si="2"/>
        <v>0</v>
      </c>
      <c r="M30" s="25"/>
      <c r="N30" s="25"/>
      <c r="O30" s="25"/>
      <c r="P30" s="25"/>
      <c r="Q30" s="25"/>
    </row>
    <row r="31" spans="1:17" x14ac:dyDescent="0.3">
      <c r="A31" s="25"/>
      <c r="B31" s="53">
        <f>H21</f>
        <v>0</v>
      </c>
      <c r="C31" s="50">
        <v>5</v>
      </c>
      <c r="D31" s="95">
        <f t="shared" si="2"/>
        <v>0</v>
      </c>
      <c r="E31" s="95">
        <f t="shared" si="2"/>
        <v>0</v>
      </c>
      <c r="F31" s="95">
        <f t="shared" si="2"/>
        <v>0</v>
      </c>
      <c r="G31" s="95">
        <f t="shared" si="2"/>
        <v>0</v>
      </c>
      <c r="H31" s="95">
        <f t="shared" si="2"/>
        <v>0</v>
      </c>
      <c r="I31" s="95">
        <f t="shared" si="2"/>
        <v>0</v>
      </c>
      <c r="J31" s="95">
        <f t="shared" si="2"/>
        <v>0</v>
      </c>
      <c r="K31" s="95">
        <f t="shared" si="2"/>
        <v>0</v>
      </c>
      <c r="L31" s="95">
        <f t="shared" si="2"/>
        <v>0</v>
      </c>
      <c r="M31" s="25"/>
      <c r="N31" s="25"/>
      <c r="O31" s="25"/>
      <c r="P31" s="25"/>
      <c r="Q31" s="25"/>
    </row>
    <row r="32" spans="1:17" x14ac:dyDescent="0.3">
      <c r="A32" s="25"/>
      <c r="B32" s="53">
        <f>I21</f>
        <v>0</v>
      </c>
      <c r="C32" s="50">
        <v>6</v>
      </c>
      <c r="D32" s="95">
        <f t="shared" si="2"/>
        <v>0</v>
      </c>
      <c r="E32" s="95">
        <f t="shared" si="2"/>
        <v>0</v>
      </c>
      <c r="F32" s="95">
        <f t="shared" si="2"/>
        <v>0</v>
      </c>
      <c r="G32" s="95">
        <f t="shared" si="2"/>
        <v>0</v>
      </c>
      <c r="H32" s="95">
        <f t="shared" si="2"/>
        <v>0</v>
      </c>
      <c r="I32" s="95">
        <f t="shared" si="2"/>
        <v>0</v>
      </c>
      <c r="J32" s="95">
        <f t="shared" si="2"/>
        <v>0</v>
      </c>
      <c r="K32" s="95">
        <f t="shared" si="2"/>
        <v>0</v>
      </c>
      <c r="L32" s="95">
        <f t="shared" si="2"/>
        <v>0</v>
      </c>
      <c r="M32" s="25"/>
      <c r="N32" s="25"/>
      <c r="O32" s="25"/>
      <c r="P32" s="25"/>
      <c r="Q32" s="25"/>
    </row>
    <row r="33" spans="1:17" x14ac:dyDescent="0.3">
      <c r="A33" s="25"/>
      <c r="B33" s="53">
        <f>J21</f>
        <v>0</v>
      </c>
      <c r="C33" s="50">
        <v>7</v>
      </c>
      <c r="D33" s="95">
        <f t="shared" si="2"/>
        <v>0</v>
      </c>
      <c r="E33" s="95">
        <f t="shared" si="2"/>
        <v>0</v>
      </c>
      <c r="F33" s="95">
        <f t="shared" si="2"/>
        <v>0</v>
      </c>
      <c r="G33" s="95">
        <f t="shared" si="2"/>
        <v>0</v>
      </c>
      <c r="H33" s="95">
        <f t="shared" si="2"/>
        <v>0</v>
      </c>
      <c r="I33" s="95">
        <f t="shared" si="2"/>
        <v>0</v>
      </c>
      <c r="J33" s="95">
        <f t="shared" si="2"/>
        <v>0</v>
      </c>
      <c r="K33" s="95">
        <f t="shared" si="2"/>
        <v>0</v>
      </c>
      <c r="L33" s="95">
        <f t="shared" si="2"/>
        <v>0</v>
      </c>
      <c r="M33" s="25"/>
      <c r="N33" s="25"/>
      <c r="O33" s="25"/>
      <c r="P33" s="25"/>
      <c r="Q33" s="25"/>
    </row>
    <row r="34" spans="1:17" x14ac:dyDescent="0.3">
      <c r="A34" s="25"/>
      <c r="B34" s="53">
        <f>K21</f>
        <v>0</v>
      </c>
      <c r="C34" s="50">
        <v>8</v>
      </c>
      <c r="D34" s="95">
        <f t="shared" si="2"/>
        <v>0</v>
      </c>
      <c r="E34" s="95">
        <f t="shared" si="2"/>
        <v>0</v>
      </c>
      <c r="F34" s="95">
        <f t="shared" si="2"/>
        <v>0</v>
      </c>
      <c r="G34" s="95">
        <f t="shared" si="2"/>
        <v>0</v>
      </c>
      <c r="H34" s="95">
        <f t="shared" si="2"/>
        <v>0</v>
      </c>
      <c r="I34" s="95">
        <f t="shared" si="2"/>
        <v>0</v>
      </c>
      <c r="J34" s="95">
        <f t="shared" si="2"/>
        <v>0</v>
      </c>
      <c r="K34" s="95">
        <f t="shared" si="2"/>
        <v>0</v>
      </c>
      <c r="L34" s="95">
        <f t="shared" si="2"/>
        <v>0</v>
      </c>
      <c r="M34" s="25"/>
      <c r="N34" s="25"/>
      <c r="O34" s="25"/>
      <c r="P34" s="25"/>
      <c r="Q34" s="25"/>
    </row>
    <row r="35" spans="1:17" x14ac:dyDescent="0.3">
      <c r="A35" s="25"/>
      <c r="B35" s="53">
        <f>L21</f>
        <v>0</v>
      </c>
      <c r="C35" s="50">
        <v>9</v>
      </c>
      <c r="D35" s="95">
        <f t="shared" si="2"/>
        <v>0</v>
      </c>
      <c r="E35" s="95">
        <f t="shared" si="2"/>
        <v>0</v>
      </c>
      <c r="F35" s="95">
        <f t="shared" si="2"/>
        <v>0</v>
      </c>
      <c r="G35" s="95">
        <f t="shared" si="2"/>
        <v>0</v>
      </c>
      <c r="H35" s="95">
        <f t="shared" si="2"/>
        <v>0</v>
      </c>
      <c r="I35" s="95">
        <f t="shared" si="2"/>
        <v>0</v>
      </c>
      <c r="J35" s="95">
        <f t="shared" si="2"/>
        <v>0</v>
      </c>
      <c r="K35" s="95">
        <f t="shared" si="2"/>
        <v>0</v>
      </c>
      <c r="L35" s="95">
        <f t="shared" si="2"/>
        <v>0</v>
      </c>
      <c r="M35" s="25"/>
      <c r="N35" s="25"/>
      <c r="O35" s="25"/>
      <c r="P35" s="25"/>
      <c r="Q35" s="25"/>
    </row>
    <row r="36" spans="1:17" x14ac:dyDescent="0.3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1:17" ht="41.4" x14ac:dyDescent="0.3">
      <c r="A37" s="25"/>
      <c r="B37" s="25"/>
      <c r="C37" s="50" t="s">
        <v>74</v>
      </c>
      <c r="D37" s="50">
        <v>1</v>
      </c>
      <c r="E37" s="50">
        <v>2</v>
      </c>
      <c r="F37" s="50">
        <v>3</v>
      </c>
      <c r="G37" s="50">
        <v>4</v>
      </c>
      <c r="H37" s="50">
        <v>5</v>
      </c>
      <c r="I37" s="50">
        <v>6</v>
      </c>
      <c r="J37" s="50">
        <v>7</v>
      </c>
      <c r="K37" s="50">
        <v>8</v>
      </c>
      <c r="L37" s="50">
        <v>9</v>
      </c>
      <c r="M37" s="25"/>
      <c r="N37" s="25"/>
      <c r="O37" s="25"/>
      <c r="P37" s="25"/>
      <c r="Q37" s="25"/>
    </row>
    <row r="38" spans="1:17" x14ac:dyDescent="0.3">
      <c r="A38" s="25"/>
      <c r="B38" s="25"/>
      <c r="C38" s="50">
        <v>1</v>
      </c>
      <c r="D38" s="54">
        <f>$B27*D$25*D27</f>
        <v>0</v>
      </c>
      <c r="E38" s="54">
        <f t="shared" ref="E38:L38" si="3">$B27*E$25*E27</f>
        <v>0</v>
      </c>
      <c r="F38" s="54">
        <f t="shared" si="3"/>
        <v>0</v>
      </c>
      <c r="G38" s="54">
        <f t="shared" si="3"/>
        <v>0</v>
      </c>
      <c r="H38" s="54">
        <f t="shared" si="3"/>
        <v>0</v>
      </c>
      <c r="I38" s="54">
        <f t="shared" si="3"/>
        <v>0</v>
      </c>
      <c r="J38" s="54">
        <f t="shared" si="3"/>
        <v>0</v>
      </c>
      <c r="K38" s="54">
        <f t="shared" si="3"/>
        <v>0</v>
      </c>
      <c r="L38" s="54">
        <f t="shared" si="3"/>
        <v>0</v>
      </c>
      <c r="M38" s="25"/>
      <c r="N38" s="25"/>
      <c r="O38" s="25"/>
      <c r="P38" s="25"/>
      <c r="Q38" s="25"/>
    </row>
    <row r="39" spans="1:17" x14ac:dyDescent="0.3">
      <c r="A39" s="25"/>
      <c r="B39" s="25"/>
      <c r="C39" s="50">
        <v>2</v>
      </c>
      <c r="D39" s="54">
        <f t="shared" ref="D39:L39" si="4">$B28*D$25*D28</f>
        <v>0</v>
      </c>
      <c r="E39" s="54">
        <f t="shared" si="4"/>
        <v>0</v>
      </c>
      <c r="F39" s="54">
        <f t="shared" si="4"/>
        <v>0</v>
      </c>
      <c r="G39" s="54">
        <f t="shared" si="4"/>
        <v>0</v>
      </c>
      <c r="H39" s="54">
        <f t="shared" si="4"/>
        <v>0</v>
      </c>
      <c r="I39" s="54">
        <f t="shared" si="4"/>
        <v>0</v>
      </c>
      <c r="J39" s="54">
        <f t="shared" si="4"/>
        <v>0</v>
      </c>
      <c r="K39" s="54">
        <f t="shared" si="4"/>
        <v>0</v>
      </c>
      <c r="L39" s="54">
        <f t="shared" si="4"/>
        <v>0</v>
      </c>
      <c r="M39" s="25"/>
      <c r="N39" s="25"/>
      <c r="O39" s="25"/>
      <c r="P39" s="25"/>
      <c r="Q39" s="25"/>
    </row>
    <row r="40" spans="1:17" x14ac:dyDescent="0.3">
      <c r="A40" s="25"/>
      <c r="B40" s="25"/>
      <c r="C40" s="50">
        <v>3</v>
      </c>
      <c r="D40" s="54">
        <f t="shared" ref="D40:L40" si="5">$B29*D$25*D29</f>
        <v>0</v>
      </c>
      <c r="E40" s="54">
        <f t="shared" si="5"/>
        <v>0</v>
      </c>
      <c r="F40" s="54">
        <f t="shared" si="5"/>
        <v>0</v>
      </c>
      <c r="G40" s="54">
        <f t="shared" si="5"/>
        <v>0</v>
      </c>
      <c r="H40" s="54">
        <f t="shared" si="5"/>
        <v>0</v>
      </c>
      <c r="I40" s="54">
        <f t="shared" si="5"/>
        <v>0</v>
      </c>
      <c r="J40" s="54">
        <f t="shared" si="5"/>
        <v>0</v>
      </c>
      <c r="K40" s="54">
        <f t="shared" si="5"/>
        <v>0</v>
      </c>
      <c r="L40" s="54">
        <f t="shared" si="5"/>
        <v>0</v>
      </c>
      <c r="M40" s="25"/>
      <c r="N40" s="25"/>
      <c r="O40" s="25"/>
      <c r="P40" s="25"/>
      <c r="Q40" s="25"/>
    </row>
    <row r="41" spans="1:17" x14ac:dyDescent="0.3">
      <c r="A41" s="25"/>
      <c r="B41" s="25"/>
      <c r="C41" s="50">
        <v>4</v>
      </c>
      <c r="D41" s="54">
        <f t="shared" ref="D41:L41" si="6">$B30*D$25*D30</f>
        <v>0</v>
      </c>
      <c r="E41" s="54">
        <f t="shared" si="6"/>
        <v>0</v>
      </c>
      <c r="F41" s="54">
        <f t="shared" si="6"/>
        <v>0</v>
      </c>
      <c r="G41" s="54">
        <f t="shared" si="6"/>
        <v>0</v>
      </c>
      <c r="H41" s="54">
        <f t="shared" si="6"/>
        <v>0</v>
      </c>
      <c r="I41" s="54">
        <f t="shared" si="6"/>
        <v>0</v>
      </c>
      <c r="J41" s="54">
        <f t="shared" si="6"/>
        <v>0</v>
      </c>
      <c r="K41" s="54">
        <f t="shared" si="6"/>
        <v>0</v>
      </c>
      <c r="L41" s="54">
        <f t="shared" si="6"/>
        <v>0</v>
      </c>
      <c r="M41" s="25"/>
      <c r="N41" s="25"/>
      <c r="O41" s="25"/>
      <c r="P41" s="25"/>
      <c r="Q41" s="25"/>
    </row>
    <row r="42" spans="1:17" x14ac:dyDescent="0.3">
      <c r="A42" s="25"/>
      <c r="B42" s="25"/>
      <c r="C42" s="50">
        <v>5</v>
      </c>
      <c r="D42" s="54">
        <f t="shared" ref="D42:L42" si="7">$B31*D$25*D31</f>
        <v>0</v>
      </c>
      <c r="E42" s="54">
        <f t="shared" si="7"/>
        <v>0</v>
      </c>
      <c r="F42" s="54">
        <f t="shared" si="7"/>
        <v>0</v>
      </c>
      <c r="G42" s="54">
        <f t="shared" si="7"/>
        <v>0</v>
      </c>
      <c r="H42" s="54">
        <f t="shared" si="7"/>
        <v>0</v>
      </c>
      <c r="I42" s="54">
        <f t="shared" si="7"/>
        <v>0</v>
      </c>
      <c r="J42" s="54">
        <f t="shared" si="7"/>
        <v>0</v>
      </c>
      <c r="K42" s="54">
        <f t="shared" si="7"/>
        <v>0</v>
      </c>
      <c r="L42" s="54">
        <f t="shared" si="7"/>
        <v>0</v>
      </c>
      <c r="M42" s="25"/>
      <c r="N42" s="25"/>
      <c r="O42" s="25"/>
      <c r="P42" s="25"/>
      <c r="Q42" s="25"/>
    </row>
    <row r="43" spans="1:17" x14ac:dyDescent="0.3">
      <c r="A43" s="25"/>
      <c r="B43" s="25"/>
      <c r="C43" s="50">
        <v>6</v>
      </c>
      <c r="D43" s="54">
        <f t="shared" ref="D43:L43" si="8">$B32*D$25*D32</f>
        <v>0</v>
      </c>
      <c r="E43" s="54">
        <f t="shared" si="8"/>
        <v>0</v>
      </c>
      <c r="F43" s="54">
        <f t="shared" si="8"/>
        <v>0</v>
      </c>
      <c r="G43" s="54">
        <f t="shared" si="8"/>
        <v>0</v>
      </c>
      <c r="H43" s="54">
        <f t="shared" si="8"/>
        <v>0</v>
      </c>
      <c r="I43" s="54">
        <f t="shared" si="8"/>
        <v>0</v>
      </c>
      <c r="J43" s="54">
        <f t="shared" si="8"/>
        <v>0</v>
      </c>
      <c r="K43" s="54">
        <f t="shared" si="8"/>
        <v>0</v>
      </c>
      <c r="L43" s="54">
        <f t="shared" si="8"/>
        <v>0</v>
      </c>
      <c r="M43" s="25"/>
      <c r="N43" s="25"/>
      <c r="O43" s="25"/>
      <c r="P43" s="25"/>
      <c r="Q43" s="25"/>
    </row>
    <row r="44" spans="1:17" x14ac:dyDescent="0.3">
      <c r="A44" s="25"/>
      <c r="B44" s="25"/>
      <c r="C44" s="50">
        <v>7</v>
      </c>
      <c r="D44" s="54">
        <f t="shared" ref="D44:L44" si="9">$B33*D$25*D33</f>
        <v>0</v>
      </c>
      <c r="E44" s="54">
        <f t="shared" si="9"/>
        <v>0</v>
      </c>
      <c r="F44" s="54">
        <f t="shared" si="9"/>
        <v>0</v>
      </c>
      <c r="G44" s="54">
        <f t="shared" si="9"/>
        <v>0</v>
      </c>
      <c r="H44" s="54">
        <f t="shared" si="9"/>
        <v>0</v>
      </c>
      <c r="I44" s="54">
        <f t="shared" si="9"/>
        <v>0</v>
      </c>
      <c r="J44" s="54">
        <f t="shared" si="9"/>
        <v>0</v>
      </c>
      <c r="K44" s="54">
        <f t="shared" si="9"/>
        <v>0</v>
      </c>
      <c r="L44" s="54">
        <f t="shared" si="9"/>
        <v>0</v>
      </c>
      <c r="M44" s="25"/>
      <c r="N44" s="25"/>
      <c r="O44" s="25"/>
      <c r="P44" s="25"/>
      <c r="Q44" s="25"/>
    </row>
    <row r="45" spans="1:17" x14ac:dyDescent="0.3">
      <c r="A45" s="25"/>
      <c r="B45" s="25"/>
      <c r="C45" s="50">
        <v>8</v>
      </c>
      <c r="D45" s="54">
        <f t="shared" ref="D45:L45" si="10">$B34*D$25*D34</f>
        <v>0</v>
      </c>
      <c r="E45" s="54">
        <f t="shared" si="10"/>
        <v>0</v>
      </c>
      <c r="F45" s="54">
        <f t="shared" si="10"/>
        <v>0</v>
      </c>
      <c r="G45" s="54">
        <f t="shared" si="10"/>
        <v>0</v>
      </c>
      <c r="H45" s="54">
        <f t="shared" si="10"/>
        <v>0</v>
      </c>
      <c r="I45" s="54">
        <f t="shared" si="10"/>
        <v>0</v>
      </c>
      <c r="J45" s="54">
        <f t="shared" si="10"/>
        <v>0</v>
      </c>
      <c r="K45" s="54">
        <f t="shared" si="10"/>
        <v>0</v>
      </c>
      <c r="L45" s="54">
        <f t="shared" si="10"/>
        <v>0</v>
      </c>
      <c r="M45" s="25"/>
      <c r="N45" s="25"/>
      <c r="O45" s="25"/>
      <c r="P45" s="25"/>
      <c r="Q45" s="25"/>
    </row>
    <row r="46" spans="1:17" x14ac:dyDescent="0.3">
      <c r="A46" s="25"/>
      <c r="B46" s="25"/>
      <c r="C46" s="50">
        <v>9</v>
      </c>
      <c r="D46" s="54">
        <f t="shared" ref="D46:L46" si="11">$B35*D$25*D35</f>
        <v>0</v>
      </c>
      <c r="E46" s="54">
        <f t="shared" si="11"/>
        <v>0</v>
      </c>
      <c r="F46" s="54">
        <f t="shared" si="11"/>
        <v>0</v>
      </c>
      <c r="G46" s="54">
        <f t="shared" si="11"/>
        <v>0</v>
      </c>
      <c r="H46" s="54">
        <f t="shared" si="11"/>
        <v>0</v>
      </c>
      <c r="I46" s="54">
        <f t="shared" si="11"/>
        <v>0</v>
      </c>
      <c r="J46" s="54">
        <f t="shared" si="11"/>
        <v>0</v>
      </c>
      <c r="K46" s="54">
        <f t="shared" si="11"/>
        <v>0</v>
      </c>
      <c r="L46" s="54">
        <f t="shared" si="11"/>
        <v>0</v>
      </c>
      <c r="M46" s="25"/>
      <c r="N46" s="25"/>
      <c r="O46" s="25"/>
      <c r="P46" s="25"/>
      <c r="Q46" s="25"/>
    </row>
    <row r="47" spans="1:17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spans="1:17" x14ac:dyDescent="0.3">
      <c r="A48" s="25"/>
      <c r="B48" s="129" t="s">
        <v>106</v>
      </c>
      <c r="C48" s="129"/>
      <c r="D48" s="107">
        <f>SQRT(SUM(D38:L46))</f>
        <v>0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spans="1:17" x14ac:dyDescent="0.3">
      <c r="A49" s="25"/>
      <c r="B49" s="129"/>
      <c r="C49" s="129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spans="1:17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spans="1:17" x14ac:dyDescent="0.3">
      <c r="A51" s="25"/>
      <c r="B51" s="25"/>
      <c r="C51" s="105" t="s">
        <v>65</v>
      </c>
      <c r="D51" s="99">
        <f>SUMPRODUCT(D6:L6,D21:L21)</f>
        <v>0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spans="1:17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spans="1:17" x14ac:dyDescent="0.3">
      <c r="A53" s="25"/>
      <c r="B53" s="1" t="s">
        <v>1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spans="1:17" x14ac:dyDescent="0.3">
      <c r="A54" s="25"/>
      <c r="B54" s="1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spans="1:17" x14ac:dyDescent="0.3">
      <c r="C55" s="1" t="s">
        <v>115</v>
      </c>
      <c r="D55" s="40" t="e">
        <f>(D51-1.5%)/D48</f>
        <v>#DIV/0!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3"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spans="1:17" x14ac:dyDescent="0.3">
      <c r="A57" s="25"/>
      <c r="B57" s="1" t="s">
        <v>2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spans="1:17" x14ac:dyDescent="0.3">
      <c r="A58" s="25"/>
      <c r="B58" s="103" t="s">
        <v>3</v>
      </c>
      <c r="C58" s="103"/>
      <c r="D58" s="103" t="s">
        <v>4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spans="1:17" x14ac:dyDescent="0.3">
      <c r="A59" s="25"/>
      <c r="B59" s="94">
        <f>SUM(D21:L21)</f>
        <v>0</v>
      </c>
      <c r="C59" s="47" t="s">
        <v>68</v>
      </c>
      <c r="D59" s="97">
        <v>1</v>
      </c>
      <c r="E59" s="25"/>
      <c r="F59" s="1" t="s">
        <v>69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 spans="1:17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</sheetData>
  <mergeCells count="1">
    <mergeCell ref="B48:C4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8BA2-1F8B-4EC8-8C73-48B4104D7335}">
  <dimension ref="B1:K24"/>
  <sheetViews>
    <sheetView showGridLines="0" zoomScale="70" zoomScaleNormal="70" workbookViewId="0">
      <selection activeCell="AI21" sqref="AI21"/>
    </sheetView>
  </sheetViews>
  <sheetFormatPr defaultColWidth="8.85546875" defaultRowHeight="14.4" x14ac:dyDescent="0.3"/>
  <cols>
    <col min="1" max="1" width="4.28515625" style="8" customWidth="1"/>
    <col min="2" max="2" width="8.85546875" style="8"/>
    <col min="3" max="3" width="10.85546875" style="8" customWidth="1"/>
    <col min="4" max="4" width="12.140625" style="8" customWidth="1"/>
    <col min="5" max="5" width="16.85546875" style="8" customWidth="1"/>
    <col min="6" max="6" width="12.140625" style="8" customWidth="1"/>
    <col min="7" max="7" width="8.85546875" style="8"/>
    <col min="9" max="10" width="8.85546875" style="8"/>
    <col min="11" max="11" width="9.7109375" style="8" bestFit="1" customWidth="1"/>
    <col min="12" max="16384" width="8.85546875" style="8"/>
  </cols>
  <sheetData>
    <row r="1" spans="2:11" ht="23.4" x14ac:dyDescent="0.3">
      <c r="B1" s="7" t="s">
        <v>19</v>
      </c>
    </row>
    <row r="3" spans="2:11" x14ac:dyDescent="0.3">
      <c r="B3" s="1" t="s">
        <v>12</v>
      </c>
    </row>
    <row r="5" spans="2:11" x14ac:dyDescent="0.3">
      <c r="C5" s="9" t="s">
        <v>5</v>
      </c>
      <c r="D5" s="9" t="s">
        <v>13</v>
      </c>
    </row>
    <row r="6" spans="2:11" x14ac:dyDescent="0.3">
      <c r="C6" s="11">
        <v>70</v>
      </c>
      <c r="D6" s="10">
        <v>400</v>
      </c>
    </row>
    <row r="7" spans="2:11" x14ac:dyDescent="0.3">
      <c r="C7" s="11">
        <v>80</v>
      </c>
      <c r="D7" s="10">
        <v>300</v>
      </c>
      <c r="J7" s="9" t="s">
        <v>5</v>
      </c>
      <c r="K7" s="9" t="s">
        <v>13</v>
      </c>
    </row>
    <row r="8" spans="2:11" x14ac:dyDescent="0.3">
      <c r="J8" s="12">
        <v>70</v>
      </c>
      <c r="K8" s="15">
        <f>$C$11*J8^$C$12</f>
        <v>0</v>
      </c>
    </row>
    <row r="9" spans="2:11" x14ac:dyDescent="0.3">
      <c r="B9" s="1" t="s">
        <v>0</v>
      </c>
      <c r="J9" s="12">
        <v>72</v>
      </c>
      <c r="K9" s="15">
        <f t="shared" ref="K9:K18" si="0">$C$11*J9^$C$12</f>
        <v>0</v>
      </c>
    </row>
    <row r="10" spans="2:11" x14ac:dyDescent="0.3">
      <c r="J10" s="12">
        <v>74</v>
      </c>
      <c r="K10" s="15">
        <f t="shared" si="0"/>
        <v>0</v>
      </c>
    </row>
    <row r="11" spans="2:11" x14ac:dyDescent="0.3">
      <c r="B11" s="9" t="s">
        <v>15</v>
      </c>
      <c r="C11" s="14"/>
      <c r="J11" s="12">
        <v>76</v>
      </c>
      <c r="K11" s="15">
        <f t="shared" si="0"/>
        <v>0</v>
      </c>
    </row>
    <row r="12" spans="2:11" x14ac:dyDescent="0.3">
      <c r="B12" s="9" t="s">
        <v>16</v>
      </c>
      <c r="C12" s="14"/>
      <c r="J12" s="12">
        <v>78</v>
      </c>
      <c r="K12" s="15">
        <f t="shared" si="0"/>
        <v>0</v>
      </c>
    </row>
    <row r="13" spans="2:11" x14ac:dyDescent="0.3">
      <c r="J13" s="12">
        <v>80</v>
      </c>
      <c r="K13" s="15">
        <f t="shared" si="0"/>
        <v>0</v>
      </c>
    </row>
    <row r="14" spans="2:11" ht="15" customHeight="1" x14ac:dyDescent="0.3">
      <c r="B14" s="1" t="s">
        <v>36</v>
      </c>
      <c r="J14" s="12">
        <v>82</v>
      </c>
      <c r="K14" s="15">
        <f t="shared" si="0"/>
        <v>0</v>
      </c>
    </row>
    <row r="15" spans="2:11" ht="15" customHeight="1" x14ac:dyDescent="0.3">
      <c r="B15" s="1"/>
      <c r="J15" s="12">
        <v>84</v>
      </c>
      <c r="K15" s="15">
        <f t="shared" si="0"/>
        <v>0</v>
      </c>
    </row>
    <row r="16" spans="2:11" ht="15" customHeight="1" x14ac:dyDescent="0.3">
      <c r="B16" s="1"/>
      <c r="E16" s="131" t="s">
        <v>17</v>
      </c>
      <c r="F16" s="131"/>
      <c r="J16" s="12">
        <v>86</v>
      </c>
      <c r="K16" s="15">
        <f t="shared" si="0"/>
        <v>0</v>
      </c>
    </row>
    <row r="17" spans="2:11" ht="15" customHeight="1" x14ac:dyDescent="0.3">
      <c r="C17" s="9" t="s">
        <v>5</v>
      </c>
      <c r="D17" s="18" t="s">
        <v>13</v>
      </c>
      <c r="E17" s="132"/>
      <c r="F17" s="131"/>
      <c r="J17" s="12">
        <v>88</v>
      </c>
      <c r="K17" s="15">
        <f t="shared" si="0"/>
        <v>0</v>
      </c>
    </row>
    <row r="18" spans="2:11" ht="15" customHeight="1" x14ac:dyDescent="0.3">
      <c r="C18" s="12">
        <f>C6</f>
        <v>70</v>
      </c>
      <c r="D18" s="20">
        <f>D6</f>
        <v>400</v>
      </c>
      <c r="E18" s="21">
        <f>C$11*C18^C$12</f>
        <v>0</v>
      </c>
      <c r="J18" s="12">
        <v>90</v>
      </c>
      <c r="K18" s="15">
        <f t="shared" si="0"/>
        <v>0</v>
      </c>
    </row>
    <row r="19" spans="2:11" ht="15" customHeight="1" x14ac:dyDescent="0.3">
      <c r="C19" s="12">
        <f>C7</f>
        <v>80</v>
      </c>
      <c r="D19" s="20">
        <f>D7</f>
        <v>300</v>
      </c>
      <c r="E19" s="21">
        <f>C$11*C19^C$12</f>
        <v>0</v>
      </c>
    </row>
    <row r="20" spans="2:11" ht="15" customHeight="1" x14ac:dyDescent="0.3"/>
    <row r="21" spans="2:11" ht="15" customHeight="1" x14ac:dyDescent="0.3">
      <c r="B21" s="1" t="s">
        <v>1</v>
      </c>
    </row>
    <row r="23" spans="2:11" x14ac:dyDescent="0.3">
      <c r="C23" s="133" t="s">
        <v>18</v>
      </c>
      <c r="D23" s="133"/>
      <c r="E23" s="134"/>
    </row>
    <row r="24" spans="2:11" x14ac:dyDescent="0.3">
      <c r="C24" s="133"/>
      <c r="D24" s="133"/>
      <c r="E24" s="135"/>
    </row>
  </sheetData>
  <mergeCells count="4">
    <mergeCell ref="E16:E17"/>
    <mergeCell ref="F16:F17"/>
    <mergeCell ref="C23:D24"/>
    <mergeCell ref="E23:E2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0"/>
  <sheetViews>
    <sheetView showGridLines="0" workbookViewId="0">
      <selection activeCell="Q20" sqref="Q20"/>
    </sheetView>
  </sheetViews>
  <sheetFormatPr defaultColWidth="8.85546875" defaultRowHeight="14.4" x14ac:dyDescent="0.3"/>
  <cols>
    <col min="1" max="1" width="4.85546875" style="8" customWidth="1"/>
    <col min="2" max="3" width="8.85546875" style="8"/>
    <col min="4" max="4" width="18.42578125" style="8" customWidth="1"/>
    <col min="5" max="6" width="8.85546875" style="8"/>
    <col min="7" max="7" width="4.7109375" style="8" customWidth="1"/>
    <col min="8" max="8" width="8.85546875" style="8" customWidth="1"/>
    <col min="9" max="16384" width="8.85546875" style="8"/>
  </cols>
  <sheetData>
    <row r="1" spans="2:4" ht="23.4" x14ac:dyDescent="0.3">
      <c r="B1" s="7" t="s">
        <v>20</v>
      </c>
    </row>
    <row r="3" spans="2:4" x14ac:dyDescent="0.3">
      <c r="B3" s="1" t="s">
        <v>12</v>
      </c>
    </row>
    <row r="5" spans="2:4" x14ac:dyDescent="0.3">
      <c r="B5" s="8" t="s">
        <v>21</v>
      </c>
      <c r="D5" s="111">
        <v>50</v>
      </c>
    </row>
    <row r="6" spans="2:4" x14ac:dyDescent="0.3">
      <c r="B6" s="8" t="s">
        <v>23</v>
      </c>
    </row>
    <row r="7" spans="2:4" x14ac:dyDescent="0.3">
      <c r="C7" s="9" t="s">
        <v>15</v>
      </c>
      <c r="D7" s="111"/>
    </row>
    <row r="8" spans="2:4" x14ac:dyDescent="0.3">
      <c r="C8" s="9" t="s">
        <v>16</v>
      </c>
      <c r="D8" s="112"/>
    </row>
    <row r="10" spans="2:4" x14ac:dyDescent="0.3">
      <c r="B10" s="1" t="s">
        <v>22</v>
      </c>
    </row>
    <row r="12" spans="2:4" x14ac:dyDescent="0.3">
      <c r="C12" s="9" t="s">
        <v>5</v>
      </c>
      <c r="D12" s="24"/>
    </row>
    <row r="14" spans="2:4" x14ac:dyDescent="0.3">
      <c r="B14" s="1" t="s">
        <v>1</v>
      </c>
    </row>
    <row r="16" spans="2:4" x14ac:dyDescent="0.3">
      <c r="C16" s="9" t="s">
        <v>26</v>
      </c>
      <c r="D16" s="24"/>
    </row>
    <row r="18" spans="2:8" x14ac:dyDescent="0.3">
      <c r="B18" s="1" t="s">
        <v>24</v>
      </c>
    </row>
    <row r="19" spans="2:8" x14ac:dyDescent="0.3">
      <c r="D19" s="13" t="s">
        <v>3</v>
      </c>
      <c r="E19" s="9"/>
      <c r="F19" s="13" t="s">
        <v>4</v>
      </c>
    </row>
    <row r="20" spans="2:8" x14ac:dyDescent="0.3">
      <c r="D20" s="113"/>
      <c r="E20" s="4" t="s">
        <v>9</v>
      </c>
      <c r="F20" s="113">
        <v>0</v>
      </c>
      <c r="H20" s="8" t="s">
        <v>25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37"/>
  <sheetViews>
    <sheetView showGridLines="0" zoomScale="60" zoomScaleNormal="60" workbookViewId="0">
      <selection activeCell="O26" sqref="O26"/>
    </sheetView>
  </sheetViews>
  <sheetFormatPr defaultColWidth="8.85546875" defaultRowHeight="14.4" x14ac:dyDescent="0.3"/>
  <cols>
    <col min="1" max="1" width="4.28515625" style="8" customWidth="1"/>
    <col min="2" max="2" width="8.85546875" style="8"/>
    <col min="3" max="3" width="13.42578125" style="8" customWidth="1"/>
    <col min="4" max="4" width="13.7109375" style="8" customWidth="1"/>
    <col min="5" max="5" width="14.7109375" style="8" customWidth="1"/>
    <col min="6" max="6" width="12.140625" style="8" customWidth="1"/>
    <col min="7" max="7" width="8.85546875" style="8"/>
    <col min="8" max="8" width="9.28515625"/>
    <col min="9" max="9" width="21.7109375" style="8" customWidth="1"/>
    <col min="10" max="10" width="8.85546875" style="8"/>
    <col min="11" max="11" width="13.28515625" style="8" bestFit="1" customWidth="1"/>
    <col min="12" max="16384" width="8.85546875" style="8"/>
  </cols>
  <sheetData>
    <row r="1" spans="2:11" ht="23.4" x14ac:dyDescent="0.3">
      <c r="B1" s="7" t="s">
        <v>35</v>
      </c>
    </row>
    <row r="3" spans="2:11" x14ac:dyDescent="0.3">
      <c r="B3" s="1" t="s">
        <v>12</v>
      </c>
    </row>
    <row r="4" spans="2:11" x14ac:dyDescent="0.3">
      <c r="K4" s="18" t="s">
        <v>34</v>
      </c>
    </row>
    <row r="5" spans="2:11" x14ac:dyDescent="0.3">
      <c r="C5" s="18" t="s">
        <v>27</v>
      </c>
      <c r="D5" s="18" t="s">
        <v>28</v>
      </c>
      <c r="J5" s="18" t="s">
        <v>27</v>
      </c>
      <c r="K5" s="18" t="s">
        <v>28</v>
      </c>
    </row>
    <row r="6" spans="2:11" x14ac:dyDescent="0.3">
      <c r="C6" s="19">
        <v>1</v>
      </c>
      <c r="D6" s="10">
        <v>4.7</v>
      </c>
      <c r="J6" s="20">
        <v>0</v>
      </c>
      <c r="K6" s="15">
        <f t="shared" ref="K6:K16" si="0">$C$14*(1-EXP(-$C$15*J6))</f>
        <v>0</v>
      </c>
    </row>
    <row r="7" spans="2:11" x14ac:dyDescent="0.3">
      <c r="C7" s="19">
        <v>8</v>
      </c>
      <c r="D7" s="10">
        <v>22.1</v>
      </c>
      <c r="J7" s="20">
        <v>20</v>
      </c>
      <c r="K7" s="15">
        <f t="shared" si="0"/>
        <v>47.174343429836576</v>
      </c>
    </row>
    <row r="8" spans="2:11" x14ac:dyDescent="0.3">
      <c r="C8" s="19">
        <v>20</v>
      </c>
      <c r="D8" s="10">
        <v>48.7</v>
      </c>
      <c r="J8" s="20">
        <v>40</v>
      </c>
      <c r="K8" s="15">
        <f t="shared" si="0"/>
        <v>79.992762909744826</v>
      </c>
    </row>
    <row r="9" spans="2:11" x14ac:dyDescent="0.3">
      <c r="C9" s="19">
        <v>50</v>
      </c>
      <c r="D9" s="10">
        <v>90.3</v>
      </c>
      <c r="J9" s="20">
        <v>60</v>
      </c>
      <c r="K9" s="15">
        <f t="shared" si="0"/>
        <v>102.82400079991578</v>
      </c>
    </row>
    <row r="10" spans="2:11" x14ac:dyDescent="0.3">
      <c r="C10" s="19">
        <v>100</v>
      </c>
      <c r="D10" s="10">
        <v>130.5</v>
      </c>
      <c r="J10" s="20">
        <v>80</v>
      </c>
      <c r="K10" s="15">
        <f t="shared" si="0"/>
        <v>118.70731973660929</v>
      </c>
    </row>
    <row r="11" spans="2:11" x14ac:dyDescent="0.3">
      <c r="J11" s="20">
        <v>100</v>
      </c>
      <c r="K11" s="15">
        <f t="shared" si="0"/>
        <v>129.75708504755352</v>
      </c>
    </row>
    <row r="12" spans="2:11" x14ac:dyDescent="0.3">
      <c r="B12" s="1" t="s">
        <v>0</v>
      </c>
      <c r="J12" s="20">
        <v>120</v>
      </c>
      <c r="K12" s="15">
        <f t="shared" si="0"/>
        <v>137.4442261238986</v>
      </c>
    </row>
    <row r="13" spans="2:11" x14ac:dyDescent="0.3">
      <c r="J13" s="20">
        <v>140</v>
      </c>
      <c r="K13" s="15">
        <f t="shared" si="0"/>
        <v>142.79204449512719</v>
      </c>
    </row>
    <row r="14" spans="2:11" x14ac:dyDescent="0.3">
      <c r="B14" s="9" t="s">
        <v>15</v>
      </c>
      <c r="C14" s="23">
        <v>155.01744686013592</v>
      </c>
      <c r="J14" s="20">
        <v>160</v>
      </c>
      <c r="K14" s="15">
        <f t="shared" si="0"/>
        <v>146.51243430554126</v>
      </c>
    </row>
    <row r="15" spans="2:11" x14ac:dyDescent="0.3">
      <c r="B15" s="9" t="s">
        <v>16</v>
      </c>
      <c r="C15" s="23">
        <v>1.8143012306145151E-2</v>
      </c>
      <c r="J15" s="20">
        <v>180</v>
      </c>
      <c r="K15" s="15">
        <f t="shared" si="0"/>
        <v>149.10064867271194</v>
      </c>
    </row>
    <row r="16" spans="2:11" x14ac:dyDescent="0.3">
      <c r="J16" s="20">
        <v>200</v>
      </c>
      <c r="K16" s="15">
        <f t="shared" si="0"/>
        <v>150.9012270937358</v>
      </c>
    </row>
    <row r="17" spans="2:5" ht="15" customHeight="1" x14ac:dyDescent="0.3"/>
    <row r="18" spans="2:5" ht="15" customHeight="1" x14ac:dyDescent="0.3">
      <c r="B18" s="1" t="s">
        <v>36</v>
      </c>
    </row>
    <row r="19" spans="2:5" ht="15" customHeight="1" x14ac:dyDescent="0.3">
      <c r="B19" s="1"/>
      <c r="E19" s="136" t="s">
        <v>29</v>
      </c>
    </row>
    <row r="20" spans="2:5" ht="15" customHeight="1" x14ac:dyDescent="0.3">
      <c r="C20" s="18" t="s">
        <v>27</v>
      </c>
      <c r="D20" s="18" t="s">
        <v>28</v>
      </c>
      <c r="E20" s="132"/>
    </row>
    <row r="21" spans="2:5" ht="15" customHeight="1" x14ac:dyDescent="0.3">
      <c r="C21" s="20">
        <f>C6</f>
        <v>1</v>
      </c>
      <c r="D21" s="15">
        <f>D6</f>
        <v>4.7</v>
      </c>
      <c r="E21" s="21">
        <f>$C$14*(1-EXP(-$C$15*C21))</f>
        <v>2.7871235848546769</v>
      </c>
    </row>
    <row r="22" spans="2:5" ht="15" customHeight="1" x14ac:dyDescent="0.3">
      <c r="C22" s="20">
        <f t="shared" ref="C22:D25" si="1">C7</f>
        <v>8</v>
      </c>
      <c r="D22" s="15">
        <f t="shared" si="1"/>
        <v>22.1</v>
      </c>
      <c r="E22" s="21">
        <f>$C$14*(1-EXP(-$C$15*C22))</f>
        <v>20.943220785108387</v>
      </c>
    </row>
    <row r="23" spans="2:5" ht="15" customHeight="1" x14ac:dyDescent="0.3">
      <c r="C23" s="20">
        <f t="shared" si="1"/>
        <v>20</v>
      </c>
      <c r="D23" s="15">
        <f t="shared" si="1"/>
        <v>48.7</v>
      </c>
      <c r="E23" s="21">
        <f>$C$14*(1-EXP(-$C$15*C23))</f>
        <v>47.174343429836576</v>
      </c>
    </row>
    <row r="24" spans="2:5" ht="15" customHeight="1" x14ac:dyDescent="0.3">
      <c r="C24" s="20">
        <f t="shared" si="1"/>
        <v>50</v>
      </c>
      <c r="D24" s="15">
        <f t="shared" si="1"/>
        <v>90.3</v>
      </c>
      <c r="E24" s="21">
        <f>$C$14*(1-EXP(-$C$15*C24))</f>
        <v>92.44111910794355</v>
      </c>
    </row>
    <row r="25" spans="2:5" ht="15" customHeight="1" x14ac:dyDescent="0.3">
      <c r="C25" s="20">
        <f t="shared" si="1"/>
        <v>100</v>
      </c>
      <c r="D25" s="15">
        <f t="shared" si="1"/>
        <v>130.5</v>
      </c>
      <c r="E25" s="21">
        <f>$C$14*(1-EXP(-$C$15*C25))</f>
        <v>129.75708504755352</v>
      </c>
    </row>
    <row r="26" spans="2:5" ht="15" customHeight="1" x14ac:dyDescent="0.3"/>
    <row r="27" spans="2:5" ht="15" customHeight="1" x14ac:dyDescent="0.3">
      <c r="B27" s="1" t="s">
        <v>1</v>
      </c>
    </row>
    <row r="28" spans="2:5" ht="15" customHeight="1" x14ac:dyDescent="0.3">
      <c r="B28" s="1"/>
    </row>
    <row r="29" spans="2:5" ht="14.4" customHeight="1" x14ac:dyDescent="0.3">
      <c r="B29" s="137" t="s">
        <v>18</v>
      </c>
      <c r="C29" s="137"/>
      <c r="D29" s="134">
        <f>SUMXMY2(D21:D25,E21:E25)</f>
        <v>12.461175962676869</v>
      </c>
    </row>
    <row r="30" spans="2:5" x14ac:dyDescent="0.3">
      <c r="B30" s="137"/>
      <c r="C30" s="137"/>
      <c r="D30" s="135"/>
    </row>
    <row r="31" spans="2:5" x14ac:dyDescent="0.3">
      <c r="B31" s="22"/>
      <c r="C31" s="22"/>
      <c r="D31" s="22"/>
    </row>
    <row r="32" spans="2:5" x14ac:dyDescent="0.3">
      <c r="B32" s="1" t="s">
        <v>2</v>
      </c>
    </row>
    <row r="33" spans="2:8" x14ac:dyDescent="0.3">
      <c r="B33" s="1"/>
      <c r="D33" s="18" t="s">
        <v>3</v>
      </c>
      <c r="F33" s="18" t="s">
        <v>4</v>
      </c>
    </row>
    <row r="34" spans="2:8" x14ac:dyDescent="0.3">
      <c r="D34" s="10">
        <f>C14</f>
        <v>155.01744686013592</v>
      </c>
      <c r="E34" s="4" t="s">
        <v>9</v>
      </c>
      <c r="F34" s="10">
        <v>130</v>
      </c>
      <c r="H34" s="17" t="s">
        <v>30</v>
      </c>
    </row>
    <row r="35" spans="2:8" x14ac:dyDescent="0.3">
      <c r="D35" s="10">
        <f>C14</f>
        <v>155.01744686013592</v>
      </c>
      <c r="E35" s="4" t="s">
        <v>11</v>
      </c>
      <c r="F35" s="10">
        <v>260</v>
      </c>
      <c r="H35" s="17" t="s">
        <v>31</v>
      </c>
    </row>
    <row r="36" spans="2:8" x14ac:dyDescent="0.3">
      <c r="D36" s="10">
        <f>C15</f>
        <v>1.8143012306145151E-2</v>
      </c>
      <c r="E36" s="4" t="s">
        <v>9</v>
      </c>
      <c r="F36" s="10">
        <v>1E-4</v>
      </c>
      <c r="H36" s="17" t="s">
        <v>32</v>
      </c>
    </row>
    <row r="37" spans="2:8" x14ac:dyDescent="0.3">
      <c r="D37" s="10">
        <f>C15</f>
        <v>1.8143012306145151E-2</v>
      </c>
      <c r="E37" s="4" t="s">
        <v>11</v>
      </c>
      <c r="F37" s="10">
        <v>1</v>
      </c>
      <c r="H37" s="17" t="s">
        <v>33</v>
      </c>
    </row>
  </sheetData>
  <mergeCells count="3">
    <mergeCell ref="E19:E20"/>
    <mergeCell ref="D29:D30"/>
    <mergeCell ref="B29:C30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0"/>
  <sheetViews>
    <sheetView showGridLines="0" topLeftCell="A2" workbookViewId="0">
      <selection activeCell="I6" sqref="I6"/>
    </sheetView>
  </sheetViews>
  <sheetFormatPr defaultColWidth="9.28515625" defaultRowHeight="14.4" x14ac:dyDescent="0.3"/>
  <cols>
    <col min="1" max="1" width="4.28515625" style="25" customWidth="1"/>
    <col min="2" max="2" width="18" style="25" customWidth="1"/>
    <col min="3" max="3" width="10.85546875" style="25" bestFit="1" customWidth="1"/>
    <col min="4" max="6" width="9.28515625" style="25"/>
    <col min="7" max="7" width="11.28515625" style="25" customWidth="1"/>
    <col min="8" max="8" width="35" style="25" customWidth="1"/>
    <col min="9" max="16384" width="9.28515625" style="25"/>
  </cols>
  <sheetData>
    <row r="1" spans="2:7" ht="23.4" x14ac:dyDescent="0.3">
      <c r="B1" s="7" t="s">
        <v>126</v>
      </c>
    </row>
    <row r="3" spans="2:7" x14ac:dyDescent="0.3">
      <c r="B3" s="16" t="s">
        <v>10</v>
      </c>
    </row>
    <row r="4" spans="2:7" ht="14.4" customHeight="1" x14ac:dyDescent="0.3">
      <c r="B4" s="16" t="s">
        <v>45</v>
      </c>
    </row>
    <row r="5" spans="2:7" x14ac:dyDescent="0.3">
      <c r="B5" s="16"/>
    </row>
    <row r="6" spans="2:7" x14ac:dyDescent="0.3">
      <c r="B6" s="25" t="s">
        <v>37</v>
      </c>
      <c r="C6" s="26" t="s">
        <v>6</v>
      </c>
      <c r="D6" s="26" t="s">
        <v>7</v>
      </c>
      <c r="E6" s="26" t="s">
        <v>8</v>
      </c>
      <c r="G6" s="31" t="s">
        <v>38</v>
      </c>
    </row>
    <row r="7" spans="2:7" x14ac:dyDescent="0.3">
      <c r="B7" s="2" t="s">
        <v>39</v>
      </c>
      <c r="C7" s="27">
        <v>105.803</v>
      </c>
      <c r="D7" s="27">
        <v>40.113</v>
      </c>
      <c r="E7" s="27">
        <v>66.998000000000005</v>
      </c>
      <c r="G7" s="35">
        <v>60</v>
      </c>
    </row>
    <row r="8" spans="2:7" x14ac:dyDescent="0.3">
      <c r="B8" s="2" t="s">
        <v>40</v>
      </c>
      <c r="C8" s="27">
        <v>71.784000000000006</v>
      </c>
      <c r="D8" s="27">
        <v>26.533999999999999</v>
      </c>
      <c r="E8" s="27">
        <v>46.146000000000001</v>
      </c>
      <c r="G8" s="35">
        <v>60</v>
      </c>
    </row>
    <row r="9" spans="2:7" x14ac:dyDescent="0.3">
      <c r="B9" s="2" t="s">
        <v>41</v>
      </c>
      <c r="C9" s="27">
        <v>56.828000000000003</v>
      </c>
      <c r="D9" s="27">
        <v>17.209</v>
      </c>
      <c r="E9" s="27">
        <v>8.8870000000000005</v>
      </c>
      <c r="G9" s="35">
        <v>28</v>
      </c>
    </row>
    <row r="11" spans="2:7" x14ac:dyDescent="0.3">
      <c r="B11" s="16" t="s">
        <v>46</v>
      </c>
    </row>
    <row r="12" spans="2:7" x14ac:dyDescent="0.3">
      <c r="B12" s="25" t="s">
        <v>37</v>
      </c>
      <c r="C12" s="26" t="s">
        <v>6</v>
      </c>
      <c r="D12" s="26" t="s">
        <v>7</v>
      </c>
      <c r="E12" s="26" t="s">
        <v>8</v>
      </c>
    </row>
    <row r="13" spans="2:7" x14ac:dyDescent="0.3">
      <c r="B13" s="2" t="s">
        <v>39</v>
      </c>
      <c r="C13" s="27">
        <v>3.5000000000000003E-2</v>
      </c>
      <c r="D13" s="27">
        <v>6.3E-2</v>
      </c>
      <c r="E13" s="27">
        <v>6.9000000000000006E-2</v>
      </c>
    </row>
    <row r="14" spans="2:7" x14ac:dyDescent="0.3">
      <c r="B14" s="2" t="s">
        <v>40</v>
      </c>
      <c r="C14" s="27">
        <v>8.8999999999999996E-2</v>
      </c>
      <c r="D14" s="27">
        <v>5.7000000000000002E-2</v>
      </c>
      <c r="E14" s="27">
        <v>6.0999999999999999E-2</v>
      </c>
    </row>
    <row r="15" spans="2:7" x14ac:dyDescent="0.3">
      <c r="B15" s="2" t="s">
        <v>41</v>
      </c>
      <c r="C15" s="27">
        <v>0.01</v>
      </c>
      <c r="D15" s="27">
        <v>3.3000000000000002E-2</v>
      </c>
      <c r="E15" s="27">
        <v>7.8E-2</v>
      </c>
    </row>
    <row r="17" spans="2:5" x14ac:dyDescent="0.3">
      <c r="B17" s="3" t="s">
        <v>42</v>
      </c>
      <c r="C17" s="28">
        <v>140</v>
      </c>
      <c r="D17" s="28">
        <v>100</v>
      </c>
      <c r="E17" s="28">
        <v>80</v>
      </c>
    </row>
    <row r="19" spans="2:5" x14ac:dyDescent="0.3">
      <c r="B19" s="138" t="s">
        <v>0</v>
      </c>
      <c r="C19" s="138"/>
      <c r="D19" s="138"/>
    </row>
    <row r="20" spans="2:5" x14ac:dyDescent="0.3">
      <c r="C20" s="26" t="s">
        <v>6</v>
      </c>
      <c r="D20" s="26" t="s">
        <v>7</v>
      </c>
      <c r="E20" s="26" t="s">
        <v>8</v>
      </c>
    </row>
    <row r="21" spans="2:5" x14ac:dyDescent="0.3">
      <c r="B21" s="25" t="s">
        <v>43</v>
      </c>
      <c r="C21" s="29"/>
      <c r="D21" s="29"/>
      <c r="E21" s="29"/>
    </row>
    <row r="23" spans="2:5" x14ac:dyDescent="0.3">
      <c r="B23" s="138" t="s">
        <v>14</v>
      </c>
      <c r="C23" s="138"/>
      <c r="D23" s="138"/>
    </row>
    <row r="25" spans="2:5" x14ac:dyDescent="0.3">
      <c r="B25" s="16" t="s">
        <v>47</v>
      </c>
    </row>
    <row r="26" spans="2:5" x14ac:dyDescent="0.3">
      <c r="B26" s="25" t="s">
        <v>37</v>
      </c>
      <c r="C26" s="26" t="s">
        <v>6</v>
      </c>
      <c r="D26" s="26" t="s">
        <v>7</v>
      </c>
      <c r="E26" s="26" t="s">
        <v>8</v>
      </c>
    </row>
    <row r="27" spans="2:5" x14ac:dyDescent="0.3">
      <c r="B27" s="2" t="s">
        <v>39</v>
      </c>
      <c r="C27" s="30">
        <f t="shared" ref="C27:E29" si="0">C7*(1-EXP(-C13*C$21))</f>
        <v>0</v>
      </c>
      <c r="D27" s="30">
        <f t="shared" si="0"/>
        <v>0</v>
      </c>
      <c r="E27" s="30">
        <f t="shared" si="0"/>
        <v>0</v>
      </c>
    </row>
    <row r="28" spans="2:5" x14ac:dyDescent="0.3">
      <c r="B28" s="2" t="s">
        <v>40</v>
      </c>
      <c r="C28" s="30">
        <f t="shared" si="0"/>
        <v>0</v>
      </c>
      <c r="D28" s="30">
        <f t="shared" si="0"/>
        <v>0</v>
      </c>
      <c r="E28" s="30">
        <f t="shared" si="0"/>
        <v>0</v>
      </c>
    </row>
    <row r="29" spans="2:5" x14ac:dyDescent="0.3">
      <c r="B29" s="2" t="s">
        <v>41</v>
      </c>
      <c r="C29" s="30">
        <f t="shared" si="0"/>
        <v>0</v>
      </c>
      <c r="D29" s="30">
        <f t="shared" si="0"/>
        <v>0</v>
      </c>
      <c r="E29" s="30">
        <f t="shared" si="0"/>
        <v>0</v>
      </c>
    </row>
    <row r="31" spans="2:5" x14ac:dyDescent="0.3">
      <c r="B31" s="138" t="s">
        <v>1</v>
      </c>
      <c r="C31" s="138"/>
      <c r="D31" s="138"/>
    </row>
    <row r="32" spans="2:5" x14ac:dyDescent="0.3">
      <c r="B32" s="25" t="s">
        <v>44</v>
      </c>
      <c r="C32" s="34"/>
    </row>
    <row r="34" spans="2:5" x14ac:dyDescent="0.3">
      <c r="B34" s="1" t="s">
        <v>2</v>
      </c>
    </row>
    <row r="35" spans="2:5" x14ac:dyDescent="0.3">
      <c r="B35" s="25" t="s">
        <v>37</v>
      </c>
      <c r="C35" s="26" t="s">
        <v>3</v>
      </c>
      <c r="D35" s="26"/>
      <c r="E35" s="26" t="s">
        <v>4</v>
      </c>
    </row>
    <row r="36" spans="2:5" x14ac:dyDescent="0.3">
      <c r="B36" s="2" t="s">
        <v>39</v>
      </c>
      <c r="C36" s="33">
        <f>SUM(C27:E27)</f>
        <v>0</v>
      </c>
      <c r="D36" s="4" t="s">
        <v>9</v>
      </c>
      <c r="E36" s="32">
        <f>G7</f>
        <v>60</v>
      </c>
    </row>
    <row r="37" spans="2:5" x14ac:dyDescent="0.3">
      <c r="B37" s="2" t="s">
        <v>40</v>
      </c>
      <c r="C37" s="33">
        <f>SUM(C28:E28)</f>
        <v>0</v>
      </c>
      <c r="D37" s="4" t="s">
        <v>9</v>
      </c>
      <c r="E37" s="32">
        <f>G8</f>
        <v>60</v>
      </c>
    </row>
    <row r="38" spans="2:5" x14ac:dyDescent="0.3">
      <c r="B38" s="2" t="s">
        <v>41</v>
      </c>
      <c r="C38" s="33">
        <f>SUM(C29:E29)</f>
        <v>0</v>
      </c>
      <c r="D38" s="4" t="s">
        <v>9</v>
      </c>
      <c r="E38" s="32">
        <f>G9</f>
        <v>28</v>
      </c>
    </row>
    <row r="40" spans="2:5" x14ac:dyDescent="0.3">
      <c r="B40" s="1"/>
    </row>
  </sheetData>
  <mergeCells count="3">
    <mergeCell ref="B19:D19"/>
    <mergeCell ref="B31:D31"/>
    <mergeCell ref="B23:D2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S26"/>
  <sheetViews>
    <sheetView showGridLines="0" zoomScaleNormal="100" workbookViewId="0">
      <selection activeCell="S28" sqref="S28"/>
    </sheetView>
  </sheetViews>
  <sheetFormatPr defaultColWidth="8.85546875" defaultRowHeight="14.4" x14ac:dyDescent="0.3"/>
  <cols>
    <col min="1" max="1" width="4.7109375" style="25" customWidth="1"/>
    <col min="2" max="2" width="18" style="25" customWidth="1"/>
    <col min="3" max="3" width="16.85546875" style="25" customWidth="1"/>
    <col min="4" max="4" width="17.7109375" style="25" customWidth="1"/>
    <col min="5" max="5" width="15.42578125" style="25" customWidth="1"/>
    <col min="6" max="11" width="8.85546875" style="25"/>
    <col min="12" max="12" width="14.85546875" style="25" customWidth="1"/>
    <col min="13" max="14" width="14" style="25" bestFit="1" customWidth="1"/>
    <col min="15" max="16384" width="8.85546875" style="25"/>
  </cols>
  <sheetData>
    <row r="1" spans="2:19" ht="23.4" x14ac:dyDescent="0.3">
      <c r="B1" s="7" t="s">
        <v>48</v>
      </c>
    </row>
    <row r="3" spans="2:19" x14ac:dyDescent="0.3">
      <c r="B3" s="16" t="s">
        <v>10</v>
      </c>
    </row>
    <row r="4" spans="2:19" ht="15" thickBot="1" x14ac:dyDescent="0.35"/>
    <row r="5" spans="2:19" ht="29.4" thickBot="1" x14ac:dyDescent="0.35">
      <c r="B5" s="36" t="s">
        <v>49</v>
      </c>
      <c r="C5" s="36" t="s">
        <v>50</v>
      </c>
      <c r="D5" s="36" t="s">
        <v>51</v>
      </c>
      <c r="E5" s="36" t="s">
        <v>52</v>
      </c>
      <c r="L5" s="121"/>
      <c r="M5" s="122" t="s">
        <v>56</v>
      </c>
      <c r="N5" s="122" t="s">
        <v>57</v>
      </c>
    </row>
    <row r="6" spans="2:19" ht="15.6" thickTop="1" thickBot="1" x14ac:dyDescent="0.35">
      <c r="B6" s="5">
        <v>1</v>
      </c>
      <c r="C6" s="37">
        <v>5</v>
      </c>
      <c r="D6" s="37">
        <v>10</v>
      </c>
      <c r="E6" s="37">
        <v>200</v>
      </c>
      <c r="L6" s="121" t="s">
        <v>58</v>
      </c>
      <c r="M6" s="121">
        <f>C6</f>
        <v>5</v>
      </c>
      <c r="N6" s="121">
        <f>D6</f>
        <v>10</v>
      </c>
    </row>
    <row r="7" spans="2:19" ht="24" thickBot="1" x14ac:dyDescent="0.5">
      <c r="B7" s="6">
        <v>2</v>
      </c>
      <c r="C7" s="38">
        <v>10</v>
      </c>
      <c r="D7" s="38">
        <v>5</v>
      </c>
      <c r="E7" s="38">
        <v>150</v>
      </c>
      <c r="L7" s="121" t="s">
        <v>59</v>
      </c>
      <c r="M7" s="121">
        <f t="shared" ref="M7:N9" si="0">C7</f>
        <v>10</v>
      </c>
      <c r="N7" s="121">
        <f t="shared" si="0"/>
        <v>5</v>
      </c>
      <c r="S7" s="119"/>
    </row>
    <row r="8" spans="2:19" ht="15" thickBot="1" x14ac:dyDescent="0.35">
      <c r="B8" s="6">
        <v>3</v>
      </c>
      <c r="C8" s="39">
        <v>0</v>
      </c>
      <c r="D8" s="39">
        <v>12</v>
      </c>
      <c r="E8" s="39">
        <v>200</v>
      </c>
      <c r="L8" s="121" t="s">
        <v>60</v>
      </c>
      <c r="M8" s="121">
        <f t="shared" si="0"/>
        <v>0</v>
      </c>
      <c r="N8" s="121">
        <f t="shared" si="0"/>
        <v>12</v>
      </c>
    </row>
    <row r="9" spans="2:19" ht="15" thickBot="1" x14ac:dyDescent="0.35">
      <c r="B9" s="6">
        <v>4</v>
      </c>
      <c r="C9" s="38">
        <v>12</v>
      </c>
      <c r="D9" s="38">
        <v>0</v>
      </c>
      <c r="E9" s="38">
        <v>300</v>
      </c>
      <c r="L9" s="121" t="s">
        <v>61</v>
      </c>
      <c r="M9" s="121">
        <f t="shared" si="0"/>
        <v>12</v>
      </c>
      <c r="N9" s="121">
        <f t="shared" si="0"/>
        <v>0</v>
      </c>
    </row>
    <row r="10" spans="2:19" x14ac:dyDescent="0.3">
      <c r="L10" s="121" t="s">
        <v>53</v>
      </c>
      <c r="M10" s="123">
        <f>C14</f>
        <v>9.3141693154228697</v>
      </c>
      <c r="N10" s="123">
        <f>D14</f>
        <v>5.02870123002557</v>
      </c>
    </row>
    <row r="11" spans="2:19" x14ac:dyDescent="0.3">
      <c r="B11" s="138" t="s">
        <v>0</v>
      </c>
      <c r="C11" s="138"/>
      <c r="D11" s="138"/>
    </row>
    <row r="12" spans="2:19" ht="15" thickBot="1" x14ac:dyDescent="0.35"/>
    <row r="13" spans="2:19" ht="15" thickBot="1" x14ac:dyDescent="0.35">
      <c r="C13" s="110" t="s">
        <v>50</v>
      </c>
      <c r="D13" s="110" t="s">
        <v>51</v>
      </c>
    </row>
    <row r="14" spans="2:19" ht="15.6" thickTop="1" thickBot="1" x14ac:dyDescent="0.35">
      <c r="B14" s="109" t="s">
        <v>53</v>
      </c>
      <c r="C14" s="40">
        <v>9.3141693154228697</v>
      </c>
      <c r="D14" s="40">
        <v>5.02870123002557</v>
      </c>
    </row>
    <row r="15" spans="2:19" x14ac:dyDescent="0.3">
      <c r="C15" s="1"/>
      <c r="D15" s="1"/>
    </row>
    <row r="16" spans="2:19" x14ac:dyDescent="0.3">
      <c r="B16" s="1" t="s">
        <v>14</v>
      </c>
    </row>
    <row r="18" spans="2:4" ht="28.8" x14ac:dyDescent="0.3">
      <c r="B18" s="41" t="s">
        <v>49</v>
      </c>
      <c r="C18" s="41" t="s">
        <v>54</v>
      </c>
    </row>
    <row r="19" spans="2:4" x14ac:dyDescent="0.3">
      <c r="B19" s="41">
        <v>1</v>
      </c>
      <c r="C19" s="120">
        <f>SQRT(SUMXMY2(C6:D6,C$14:D$14))</f>
        <v>6.5822388548643165</v>
      </c>
    </row>
    <row r="20" spans="2:4" x14ac:dyDescent="0.3">
      <c r="B20" s="41">
        <v>2</v>
      </c>
      <c r="C20" s="120">
        <f t="shared" ref="C20:C22" si="1">SQRT(SUMXMY2(C7:D7,C$14:D$14))</f>
        <v>0.68643097869524783</v>
      </c>
    </row>
    <row r="21" spans="2:4" x14ac:dyDescent="0.3">
      <c r="B21" s="41">
        <v>3</v>
      </c>
      <c r="C21" s="120">
        <f t="shared" si="1"/>
        <v>11.634120361102164</v>
      </c>
      <c r="D21" s="1"/>
    </row>
    <row r="22" spans="2:4" x14ac:dyDescent="0.3">
      <c r="B22" s="41">
        <v>4</v>
      </c>
      <c r="C22" s="120">
        <f t="shared" si="1"/>
        <v>5.7010106583900315</v>
      </c>
    </row>
    <row r="24" spans="2:4" x14ac:dyDescent="0.3">
      <c r="B24" s="1" t="s">
        <v>1</v>
      </c>
    </row>
    <row r="26" spans="2:4" x14ac:dyDescent="0.3">
      <c r="B26" s="25" t="s">
        <v>55</v>
      </c>
      <c r="C26" s="42"/>
    </row>
  </sheetData>
  <mergeCells count="1">
    <mergeCell ref="B11:D11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41"/>
  <sheetViews>
    <sheetView showGridLines="0" workbookViewId="0">
      <selection activeCell="H32" sqref="H32"/>
    </sheetView>
  </sheetViews>
  <sheetFormatPr defaultColWidth="8.85546875" defaultRowHeight="14.4" x14ac:dyDescent="0.3"/>
  <cols>
    <col min="1" max="1" width="4.42578125" style="25" customWidth="1"/>
    <col min="2" max="2" width="13.42578125" style="25" customWidth="1"/>
    <col min="3" max="3" width="13" style="25" customWidth="1"/>
    <col min="4" max="4" width="10.85546875" style="25" customWidth="1"/>
    <col min="5" max="5" width="13.5703125" style="25" customWidth="1"/>
    <col min="6" max="6" width="11" style="25" customWidth="1"/>
    <col min="7" max="7" width="15" style="25" customWidth="1"/>
    <col min="8" max="8" width="11" style="25" customWidth="1"/>
    <col min="9" max="9" width="10.42578125" style="25" customWidth="1"/>
    <col min="10" max="10" width="10.7109375" style="25" customWidth="1"/>
    <col min="11" max="11" width="18.28515625" style="25" customWidth="1"/>
    <col min="12" max="16384" width="8.85546875" style="25"/>
  </cols>
  <sheetData>
    <row r="1" spans="2:10" ht="23.4" x14ac:dyDescent="0.3">
      <c r="B1" s="7" t="s">
        <v>64</v>
      </c>
    </row>
    <row r="3" spans="2:10" x14ac:dyDescent="0.3">
      <c r="B3" s="16" t="s">
        <v>10</v>
      </c>
    </row>
    <row r="5" spans="2:10" ht="15.6" x14ac:dyDescent="0.3">
      <c r="B5" s="45" t="s">
        <v>62</v>
      </c>
      <c r="C5" s="45">
        <v>1</v>
      </c>
      <c r="D5" s="45">
        <v>2</v>
      </c>
      <c r="E5" s="45">
        <v>3</v>
      </c>
      <c r="F5" s="44"/>
    </row>
    <row r="6" spans="2:10" ht="15.6" x14ac:dyDescent="0.3">
      <c r="B6" s="45" t="s">
        <v>63</v>
      </c>
      <c r="C6" s="46">
        <v>0.14000000000000001</v>
      </c>
      <c r="D6" s="46">
        <v>0.11</v>
      </c>
      <c r="E6" s="46">
        <v>0.1</v>
      </c>
      <c r="F6" s="44"/>
    </row>
    <row r="7" spans="2:10" ht="15.6" x14ac:dyDescent="0.3">
      <c r="F7" s="44"/>
    </row>
    <row r="8" spans="2:10" ht="15.6" x14ac:dyDescent="0.3">
      <c r="B8" s="45" t="s">
        <v>66</v>
      </c>
      <c r="C8" s="45">
        <v>1</v>
      </c>
      <c r="D8" s="45">
        <v>2</v>
      </c>
      <c r="E8" s="45">
        <v>3</v>
      </c>
      <c r="F8" s="44"/>
    </row>
    <row r="9" spans="2:10" ht="15.6" x14ac:dyDescent="0.3">
      <c r="B9" s="45">
        <v>1</v>
      </c>
      <c r="C9" s="114">
        <v>0.04</v>
      </c>
      <c r="D9" s="114">
        <v>1.7999999999999999E-2</v>
      </c>
      <c r="E9" s="114">
        <v>6.4000000000000003E-3</v>
      </c>
      <c r="F9" s="44"/>
      <c r="G9" s="44"/>
      <c r="H9" s="44"/>
      <c r="I9" s="44"/>
      <c r="J9" s="44"/>
    </row>
    <row r="10" spans="2:10" ht="15.6" x14ac:dyDescent="0.3">
      <c r="B10" s="45">
        <v>2</v>
      </c>
      <c r="C10" s="115">
        <v>1.7999999999999999E-2</v>
      </c>
      <c r="D10" s="115">
        <v>2.2499999999999999E-2</v>
      </c>
      <c r="E10" s="115">
        <v>8.3999999999999995E-3</v>
      </c>
      <c r="F10" s="44"/>
      <c r="G10" s="44"/>
      <c r="H10" s="44"/>
      <c r="I10" s="44"/>
      <c r="J10" s="44"/>
    </row>
    <row r="11" spans="2:10" ht="15.6" x14ac:dyDescent="0.3">
      <c r="B11" s="45">
        <v>3</v>
      </c>
      <c r="C11" s="114">
        <v>6.4000000000000003E-3</v>
      </c>
      <c r="D11" s="114">
        <v>8.3999999999999995E-3</v>
      </c>
      <c r="E11" s="114">
        <v>6.4000000000000003E-3</v>
      </c>
      <c r="F11" s="44"/>
      <c r="G11" s="44"/>
      <c r="H11" s="44"/>
      <c r="I11" s="44"/>
      <c r="J11" s="44"/>
    </row>
    <row r="12" spans="2:10" ht="15.6" x14ac:dyDescent="0.3">
      <c r="F12" s="44"/>
      <c r="G12" s="44"/>
      <c r="H12" s="44"/>
      <c r="I12" s="44"/>
      <c r="J12" s="44"/>
    </row>
    <row r="13" spans="2:10" x14ac:dyDescent="0.3">
      <c r="B13" s="138" t="s">
        <v>0</v>
      </c>
      <c r="C13" s="138"/>
      <c r="D13" s="138"/>
      <c r="G13" s="48"/>
    </row>
    <row r="14" spans="2:10" ht="20.25" customHeight="1" x14ac:dyDescent="0.3">
      <c r="C14" s="103" t="s">
        <v>71</v>
      </c>
      <c r="D14" s="103" t="s">
        <v>72</v>
      </c>
      <c r="E14" s="103" t="s">
        <v>73</v>
      </c>
    </row>
    <row r="15" spans="2:10" ht="28.5" customHeight="1" x14ac:dyDescent="0.3">
      <c r="B15" s="104" t="s">
        <v>70</v>
      </c>
      <c r="C15" s="49">
        <v>0.49999998629751258</v>
      </c>
      <c r="D15" s="49">
        <v>0</v>
      </c>
      <c r="E15" s="49">
        <v>0.50000001370248726</v>
      </c>
    </row>
    <row r="17" spans="2:6" x14ac:dyDescent="0.3">
      <c r="B17" s="138" t="s">
        <v>14</v>
      </c>
      <c r="C17" s="138"/>
      <c r="D17" s="138"/>
    </row>
    <row r="19" spans="2:6" x14ac:dyDescent="0.3">
      <c r="B19" s="51"/>
      <c r="C19" s="51"/>
      <c r="D19" s="52">
        <f>C15</f>
        <v>0.49999998629751258</v>
      </c>
      <c r="E19" s="52">
        <f>D15</f>
        <v>0</v>
      </c>
      <c r="F19" s="52">
        <f>E15</f>
        <v>0.50000001370248726</v>
      </c>
    </row>
    <row r="20" spans="2:6" x14ac:dyDescent="0.3">
      <c r="B20" s="51"/>
      <c r="C20" s="50" t="s">
        <v>66</v>
      </c>
      <c r="D20" s="50">
        <v>1</v>
      </c>
      <c r="E20" s="50">
        <v>2</v>
      </c>
      <c r="F20" s="50">
        <v>3</v>
      </c>
    </row>
    <row r="21" spans="2:6" x14ac:dyDescent="0.3">
      <c r="B21" s="53">
        <f>C15</f>
        <v>0.49999998629751258</v>
      </c>
      <c r="C21" s="50">
        <v>1</v>
      </c>
      <c r="D21" s="54">
        <v>0.04</v>
      </c>
      <c r="E21" s="54">
        <v>1.7999999999999999E-2</v>
      </c>
      <c r="F21" s="55">
        <v>6.4000000000000003E-3</v>
      </c>
    </row>
    <row r="22" spans="2:6" x14ac:dyDescent="0.3">
      <c r="B22" s="53">
        <f>D15</f>
        <v>0</v>
      </c>
      <c r="C22" s="50">
        <v>2</v>
      </c>
      <c r="D22" s="56">
        <v>1.7999999999999999E-2</v>
      </c>
      <c r="E22" s="57">
        <v>2.2499999999999999E-2</v>
      </c>
      <c r="F22" s="57">
        <v>8.3999999999999995E-3</v>
      </c>
    </row>
    <row r="23" spans="2:6" x14ac:dyDescent="0.3">
      <c r="B23" s="53">
        <f>E15</f>
        <v>0.50000001370248726</v>
      </c>
      <c r="C23" s="50">
        <v>3</v>
      </c>
      <c r="D23" s="55">
        <v>6.4000000000000003E-3</v>
      </c>
      <c r="E23" s="55">
        <v>8.3999999999999995E-3</v>
      </c>
      <c r="F23" s="55">
        <v>6.4000000000000003E-3</v>
      </c>
    </row>
    <row r="25" spans="2:6" ht="41.4" x14ac:dyDescent="0.3">
      <c r="C25" s="50" t="s">
        <v>74</v>
      </c>
      <c r="D25" s="50">
        <v>1</v>
      </c>
      <c r="E25" s="50">
        <v>2</v>
      </c>
      <c r="F25" s="50">
        <v>3</v>
      </c>
    </row>
    <row r="26" spans="2:6" x14ac:dyDescent="0.3">
      <c r="C26" s="50">
        <v>1</v>
      </c>
      <c r="D26" s="54">
        <f>$B21*D$19*D21</f>
        <v>9.9999994519005108E-3</v>
      </c>
      <c r="E26" s="54">
        <f t="shared" ref="E26:F26" si="0">$B21*E$19*E21</f>
        <v>0</v>
      </c>
      <c r="F26" s="54">
        <f t="shared" si="0"/>
        <v>1.5999999999999983E-3</v>
      </c>
    </row>
    <row r="27" spans="2:6" x14ac:dyDescent="0.3">
      <c r="C27" s="50">
        <v>2</v>
      </c>
      <c r="D27" s="54">
        <f t="shared" ref="D27:F27" si="1">$B22*D$19*D22</f>
        <v>0</v>
      </c>
      <c r="E27" s="54">
        <f t="shared" si="1"/>
        <v>0</v>
      </c>
      <c r="F27" s="54">
        <f t="shared" si="1"/>
        <v>0</v>
      </c>
    </row>
    <row r="28" spans="2:6" x14ac:dyDescent="0.3">
      <c r="C28" s="50">
        <v>3</v>
      </c>
      <c r="D28" s="54">
        <f t="shared" ref="D28:F28" si="2">$B23*D$19*D23</f>
        <v>1.5999999999999983E-3</v>
      </c>
      <c r="E28" s="54">
        <f t="shared" si="2"/>
        <v>0</v>
      </c>
      <c r="F28" s="54">
        <f t="shared" si="2"/>
        <v>1.6000000876959196E-3</v>
      </c>
    </row>
    <row r="30" spans="2:6" x14ac:dyDescent="0.3">
      <c r="C30" s="105" t="s">
        <v>65</v>
      </c>
      <c r="D30" s="117">
        <f>SUMPRODUCT(C6:E6,C15:E15)</f>
        <v>0.11999999945190049</v>
      </c>
    </row>
    <row r="32" spans="2:6" x14ac:dyDescent="0.3">
      <c r="B32" s="1" t="s">
        <v>1</v>
      </c>
    </row>
    <row r="34" spans="2:6" ht="15" customHeight="1" x14ac:dyDescent="0.3">
      <c r="B34" s="129" t="s">
        <v>106</v>
      </c>
      <c r="C34" s="129"/>
      <c r="D34" s="106">
        <f>SQRT(SUM(D26:F28))</f>
        <v>0.12165524871371736</v>
      </c>
    </row>
    <row r="35" spans="2:6" x14ac:dyDescent="0.3">
      <c r="B35" s="129"/>
      <c r="C35" s="129"/>
    </row>
    <row r="36" spans="2:6" x14ac:dyDescent="0.3">
      <c r="B36" s="104"/>
      <c r="C36" s="104"/>
    </row>
    <row r="37" spans="2:6" x14ac:dyDescent="0.3">
      <c r="B37" s="1" t="s">
        <v>2</v>
      </c>
    </row>
    <row r="38" spans="2:6" x14ac:dyDescent="0.3">
      <c r="B38" s="103" t="s">
        <v>3</v>
      </c>
      <c r="C38" s="103"/>
      <c r="D38" s="103" t="s">
        <v>4</v>
      </c>
    </row>
    <row r="39" spans="2:6" x14ac:dyDescent="0.3">
      <c r="B39" s="97">
        <f>D30</f>
        <v>0.11999999945190049</v>
      </c>
      <c r="C39" s="4" t="s">
        <v>9</v>
      </c>
      <c r="D39" s="97">
        <v>0.12</v>
      </c>
      <c r="F39" s="43" t="s">
        <v>67</v>
      </c>
    </row>
    <row r="41" spans="2:6" x14ac:dyDescent="0.3">
      <c r="B41" s="97">
        <f>SUM(C15:E15)</f>
        <v>0.99999999999999978</v>
      </c>
      <c r="C41" s="47" t="s">
        <v>68</v>
      </c>
      <c r="D41" s="97">
        <v>1</v>
      </c>
      <c r="F41" s="43" t="s">
        <v>69</v>
      </c>
    </row>
  </sheetData>
  <mergeCells count="3">
    <mergeCell ref="B13:D13"/>
    <mergeCell ref="B17:D17"/>
    <mergeCell ref="B34:C3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0. Data</vt:lpstr>
      <vt:lpstr>1. Minimise risk</vt:lpstr>
      <vt:lpstr>2. Maximise return</vt:lpstr>
      <vt:lpstr>3. Maximise Sharpe</vt:lpstr>
      <vt:lpstr>Constant elasticity </vt:lpstr>
      <vt:lpstr>Pricing model</vt:lpstr>
      <vt:lpstr>Modified Exp</vt:lpstr>
      <vt:lpstr>Ad model</vt:lpstr>
      <vt:lpstr>Location model</vt:lpstr>
      <vt:lpstr>Portfolio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Annista Wijayanayake</cp:lastModifiedBy>
  <cp:lastPrinted>2016-03-31T02:17:14Z</cp:lastPrinted>
  <dcterms:created xsi:type="dcterms:W3CDTF">2014-11-18T01:43:09Z</dcterms:created>
  <dcterms:modified xsi:type="dcterms:W3CDTF">2025-03-26T03:30:50Z</dcterms:modified>
</cp:coreProperties>
</file>