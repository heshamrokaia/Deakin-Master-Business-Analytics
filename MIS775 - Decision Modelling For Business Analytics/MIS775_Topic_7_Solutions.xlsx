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7-Building Stochastic Decision Models/"/>
    </mc:Choice>
  </mc:AlternateContent>
  <xr:revisionPtr revIDLastSave="19" documentId="14_{43C19F27-39C8-4280-BC5F-3140E413CA42}" xr6:coauthVersionLast="47" xr6:coauthVersionMax="47" xr10:uidLastSave="{5B849442-C88F-424C-B793-2CC28FF14F0D}"/>
  <bookViews>
    <workbookView xWindow="1905" yWindow="1905" windowWidth="38700" windowHeight="15345" tabRatio="795" activeTab="3" xr2:uid="{00000000-000D-0000-FFFF-FFFF00000000}"/>
  </bookViews>
  <sheets>
    <sheet name="Answers" sheetId="8" r:id="rId1"/>
    <sheet name="Manager Page &amp; conceptual model" sheetId="4" r:id="rId2"/>
    <sheet name="Scenario Summary" sheetId="18" r:id="rId3"/>
    <sheet name="Scenario Analysis-Direct labour" sheetId="12" r:id="rId4"/>
    <sheet name="Scenario Analysi-cost perpart" sheetId="11" r:id="rId5"/>
    <sheet name="Scenario Analysis -Demand" sheetId="13" r:id="rId6"/>
    <sheet name="summary of Scenrio analysis" sheetId="17" r:id="rId7"/>
    <sheet name="Model" sheetId="1" r:id="rId8"/>
    <sheet name="Best case model" sheetId="14" r:id="rId9"/>
  </sheets>
  <definedNames>
    <definedName name="Contribution_margin_per_unit" localSheetId="8">'Best case model'!$C$4</definedName>
    <definedName name="Contribution_margin_per_unit">Model!$C$4</definedName>
    <definedName name="Cost_of_parts_per_unit" localSheetId="8">'Best case model'!$H$5</definedName>
    <definedName name="Cost_of_parts_per_unit">Model!$H$5</definedName>
    <definedName name="Demand" localSheetId="8">'Best case model'!$H$6</definedName>
    <definedName name="Demand">Model!$H$6</definedName>
    <definedName name="Direct_labour_cost_per_unit" localSheetId="8">'Best case model'!$H$4</definedName>
    <definedName name="Direct_labour_cost_per_unit">Model!$H$4</definedName>
    <definedName name="First_year_profit" localSheetId="8">'Best case model'!$C$6</definedName>
    <definedName name="First_year_profit">Model!$C$6</definedName>
    <definedName name="Selling_price_per_unit" localSheetId="8">'Best case model'!$H$10</definedName>
    <definedName name="Selling_price_per_unit">Model!$H$10</definedName>
    <definedName name="solver_adj" localSheetId="8" hidden="1">'Best case model'!$H$10</definedName>
    <definedName name="solver_adj" localSheetId="7" hidden="1">Model!$H$10</definedName>
    <definedName name="solver_cvg" localSheetId="8" hidden="1">0.0001</definedName>
    <definedName name="solver_cvg" localSheetId="7" hidden="1">0.0001</definedName>
    <definedName name="solver_drv" localSheetId="8" hidden="1">1</definedName>
    <definedName name="solver_drv" localSheetId="7" hidden="1">1</definedName>
    <definedName name="solver_eng" localSheetId="8" hidden="1">1</definedName>
    <definedName name="solver_eng" localSheetId="7" hidden="1">1</definedName>
    <definedName name="solver_est" localSheetId="8" hidden="1">1</definedName>
    <definedName name="solver_est" localSheetId="7" hidden="1">1</definedName>
    <definedName name="solver_itr" localSheetId="8" hidden="1">2147483647</definedName>
    <definedName name="solver_itr" localSheetId="7" hidden="1">2147483647</definedName>
    <definedName name="solver_mip" localSheetId="8" hidden="1">2147483647</definedName>
    <definedName name="solver_mip" localSheetId="7" hidden="1">2147483647</definedName>
    <definedName name="solver_mni" localSheetId="8" hidden="1">30</definedName>
    <definedName name="solver_mni" localSheetId="7" hidden="1">30</definedName>
    <definedName name="solver_mrt" localSheetId="8" hidden="1">0.075</definedName>
    <definedName name="solver_mrt" localSheetId="7" hidden="1">0.075</definedName>
    <definedName name="solver_msl" localSheetId="8" hidden="1">2</definedName>
    <definedName name="solver_msl" localSheetId="7" hidden="1">2</definedName>
    <definedName name="solver_neg" localSheetId="8" hidden="1">1</definedName>
    <definedName name="solver_neg" localSheetId="7" hidden="1">1</definedName>
    <definedName name="solver_nod" localSheetId="8" hidden="1">2147483647</definedName>
    <definedName name="solver_nod" localSheetId="7" hidden="1">2147483647</definedName>
    <definedName name="solver_num" localSheetId="8" hidden="1">0</definedName>
    <definedName name="solver_num" localSheetId="7" hidden="1">0</definedName>
    <definedName name="solver_nwt" localSheetId="8" hidden="1">1</definedName>
    <definedName name="solver_nwt" localSheetId="7" hidden="1">1</definedName>
    <definedName name="solver_opt" localSheetId="8" hidden="1">'Best case model'!$C$6</definedName>
    <definedName name="solver_opt" localSheetId="7" hidden="1">Model!$C$6</definedName>
    <definedName name="solver_pre" localSheetId="8" hidden="1">0.000001</definedName>
    <definedName name="solver_pre" localSheetId="7" hidden="1">0.000001</definedName>
    <definedName name="solver_rbv" localSheetId="8" hidden="1">1</definedName>
    <definedName name="solver_rbv" localSheetId="7" hidden="1">1</definedName>
    <definedName name="solver_rlx" localSheetId="8" hidden="1">2</definedName>
    <definedName name="solver_rlx" localSheetId="7" hidden="1">2</definedName>
    <definedName name="solver_rsd" localSheetId="8" hidden="1">0</definedName>
    <definedName name="solver_rsd" localSheetId="7" hidden="1">0</definedName>
    <definedName name="solver_scl" localSheetId="8" hidden="1">1</definedName>
    <definedName name="solver_scl" localSheetId="7" hidden="1">1</definedName>
    <definedName name="solver_sho" localSheetId="8" hidden="1">2</definedName>
    <definedName name="solver_sho" localSheetId="7" hidden="1">2</definedName>
    <definedName name="solver_ssz" localSheetId="8" hidden="1">100</definedName>
    <definedName name="solver_ssz" localSheetId="7" hidden="1">100</definedName>
    <definedName name="solver_tim" localSheetId="8" hidden="1">2147483647</definedName>
    <definedName name="solver_tim" localSheetId="7" hidden="1">2147483647</definedName>
    <definedName name="solver_tol" localSheetId="8" hidden="1">0.01</definedName>
    <definedName name="solver_tol" localSheetId="7" hidden="1">0.01</definedName>
    <definedName name="solver_typ" localSheetId="8" hidden="1">1</definedName>
    <definedName name="solver_typ" localSheetId="7" hidden="1">1</definedName>
    <definedName name="solver_val" localSheetId="8" hidden="1">0</definedName>
    <definedName name="solver_val" localSheetId="7" hidden="1">0</definedName>
    <definedName name="solver_ver" localSheetId="8" hidden="1">3</definedName>
    <definedName name="solver_ver" localSheetId="7"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 i="1" l="1"/>
  <c r="H6" i="14"/>
  <c r="C4" i="14"/>
  <c r="C6" i="14" l="1"/>
  <c r="C4" i="1"/>
  <c r="C6" i="1" s="1"/>
</calcChain>
</file>

<file path=xl/sharedStrings.xml><?xml version="1.0" encoding="utf-8"?>
<sst xmlns="http://schemas.openxmlformats.org/spreadsheetml/2006/main" count="227" uniqueCount="74">
  <si>
    <t>Profit</t>
  </si>
  <si>
    <t>COMPUTED VALUES AND OUTPUT</t>
  </si>
  <si>
    <t>INPUTS</t>
  </si>
  <si>
    <t>Stochastic inputs</t>
  </si>
  <si>
    <t>Direct labour cost per unit</t>
  </si>
  <si>
    <t>Cost of parts per unit</t>
  </si>
  <si>
    <t>Demand</t>
  </si>
  <si>
    <t>Decision variables</t>
  </si>
  <si>
    <t>Fixed inputs</t>
  </si>
  <si>
    <t>Key output</t>
  </si>
  <si>
    <t>Key inputs</t>
  </si>
  <si>
    <t>Management decision variable</t>
  </si>
  <si>
    <t xml:space="preserve">Selling price per unit </t>
  </si>
  <si>
    <t>Uncertain inputs subject to random variation</t>
  </si>
  <si>
    <t>Cost of direct labour</t>
  </si>
  <si>
    <t>Cost of parts</t>
  </si>
  <si>
    <t>Best case</t>
  </si>
  <si>
    <t>Base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</si>
  <si>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</si>
  <si>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</si>
  <si>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</si>
  <si>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</si>
  <si>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</si>
  <si>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</si>
  <si>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</si>
  <si>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</si>
  <si>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First_year_profit</t>
  </si>
  <si>
    <t>Tasks</t>
  </si>
  <si>
    <t>Complete the Model worksheet using the conceptual model provided in 'Conceptual Model'.</t>
  </si>
  <si>
    <t>Check to see that the model gives reasonable results for zero inputs.</t>
  </si>
  <si>
    <t>Note that before creating the scenario summary for Demand and Profit, you will need to remove the formula in cell H6. You can do this by copying the cell's contents and pasting its value over the top.</t>
  </si>
  <si>
    <t>Direct_labour_cost_per_unit</t>
  </si>
  <si>
    <t>Cost_of_parts_per_unit</t>
  </si>
  <si>
    <t xml:space="preserve">
</t>
  </si>
  <si>
    <t xml:space="preserve">
Modified by David Stewart on 1/04/2020</t>
  </si>
  <si>
    <t>Best guess</t>
  </si>
  <si>
    <t>Check to see that the model gives correct results when price is $249 and $299.</t>
  </si>
  <si>
    <t xml:space="preserve">(Steps: Place the cursor on cell H10, then go to Data &gt; Data Validation </t>
  </si>
  <si>
    <t>Set up a drop-down list for cell H10 so users can only enter prices of $249 and $299.</t>
  </si>
  <si>
    <t xml:space="preserve">              In the Data Validation dialog box, on the Settings tab:</t>
  </si>
  <si>
    <t xml:space="preserve">              In the Allow drop-down list, select List.</t>
  </si>
  <si>
    <t>Which selling price is better? Explain your reasoning.</t>
  </si>
  <si>
    <t>7a</t>
  </si>
  <si>
    <t>7b</t>
  </si>
  <si>
    <t>In this seminar you will transfer the logic of the 'Conceptual Model' worksheet to the 'Model' worksheet, set up a drop-down list, perform Scenario Analysis, and use Goal Seek.</t>
  </si>
  <si>
    <r>
      <t xml:space="preserve">To create your scenarios go to Data &gt; What-if Analysis &gt; Scenario Manager and create best, base and worst case scenarios. </t>
    </r>
    <r>
      <rPr>
        <b/>
        <i/>
        <sz val="12"/>
        <color theme="1"/>
        <rFont val="Calibri"/>
        <family val="2"/>
        <scheme val="minor"/>
      </rPr>
      <t>The Help document explains how to do this.</t>
    </r>
  </si>
  <si>
    <r>
      <t xml:space="preserve">Sanotronics have a target of $750,000 for their </t>
    </r>
    <r>
      <rPr>
        <b/>
        <sz val="12"/>
        <color theme="1"/>
        <rFont val="Calibri"/>
        <family val="2"/>
        <scheme val="minor"/>
      </rPr>
      <t>first-year profit</t>
    </r>
    <r>
      <rPr>
        <sz val="12"/>
        <color theme="1"/>
        <rFont val="Calibri"/>
        <family val="2"/>
        <scheme val="minor"/>
      </rPr>
      <t xml:space="preserve">. Use Goal Seek to find the required </t>
    </r>
    <r>
      <rPr>
        <b/>
        <sz val="12"/>
        <color theme="1"/>
        <rFont val="Calibri"/>
        <family val="2"/>
        <scheme val="minor"/>
      </rPr>
      <t>cost of parts per unit</t>
    </r>
    <r>
      <rPr>
        <sz val="12"/>
        <color theme="1"/>
        <rFont val="Calibri"/>
        <family val="2"/>
        <scheme val="minor"/>
      </rPr>
      <t xml:space="preserve"> that will deliver this target when the selling price is set at $249.</t>
    </r>
  </si>
  <si>
    <t>Repeat 7a, but this time with a selling price of $299.</t>
  </si>
  <si>
    <t>Administrative costs ($M)</t>
  </si>
  <si>
    <t>Advertising costs ($M)</t>
  </si>
  <si>
    <t xml:space="preserve">Administrative costs </t>
  </si>
  <si>
    <t xml:space="preserve">Advertising costs </t>
  </si>
  <si>
    <t>Base</t>
  </si>
  <si>
    <t>Answers</t>
  </si>
  <si>
    <t>3. When price is $249 profit is $710,000</t>
  </si>
  <si>
    <t xml:space="preserve">    When price is $299 profit is $804,000.</t>
  </si>
  <si>
    <t>6. $299 is a better price as it has a higher expected profit - $94,000 more.</t>
  </si>
  <si>
    <t>5. See worksheets with Scenario Summaries.</t>
  </si>
  <si>
    <t>4. See Model worksheet.</t>
  </si>
  <si>
    <t>2. Profit is zero.</t>
  </si>
  <si>
    <t>1. See Model worksheet.</t>
  </si>
  <si>
    <t>First-year profit</t>
  </si>
  <si>
    <t>Contribution margin per unit</t>
  </si>
  <si>
    <t>Selling price per unit</t>
  </si>
  <si>
    <t>7a. According to our model, cost of parts per unit of $87.33 will produce a first-year profit of $750,000 (actually $750,050 due to rounding)</t>
  </si>
  <si>
    <t>7b. According to our model, a cost of parts per unit of $94.91 will produce a first-year profit of $750,000 (actually $749,990 due to rounding)</t>
  </si>
  <si>
    <t>(Hint: use an IF statements in cell H6.)</t>
  </si>
  <si>
    <t xml:space="preserve">              In the Source box, enter $249,$299 then click OK.)</t>
  </si>
  <si>
    <t>Reproduce the three scenario examples for the stochastic inputs, as given in lecture slides 22-24.</t>
  </si>
  <si>
    <t>Base guess</t>
  </si>
  <si>
    <t>Base Guess</t>
  </si>
  <si>
    <t>when selling price =$249</t>
  </si>
  <si>
    <t>Created by Annista Wijayanayake on 5/16/2025
Modified by Annista Wijayanayake on 5/16/2025</t>
  </si>
  <si>
    <t>when selling price =$299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</si>
</sst>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 #,##0.00_-;\-* #,##0.00_-;_-* &quot;-&quot;??_-;_-@_-"/>
    <numFmt numFmtId="166" formatCode="&quot;$&quot;#,##0.00"/>
    <numFmt numFmtId="167" formatCode="&quot;$&quot;#,##0"/>
  </numFmts>
  <fonts count="28" x14ac:knownFonts="1">
    <font>
      <sz val="11"/>
      <color theme="1"/>
      <name val="Calibri"/>
      <family val="2"/>
      <scheme val="minor"/>
    </font>
    <font>
      <sz val="11"/>
      <color theme="1"/>
      <name val="Calibri"/>
      <family val="2"/>
      <scheme val="minor"/>
    </font>
    <font>
      <sz val="12"/>
      <color theme="1"/>
      <name val="Times New Roman"/>
      <family val="1"/>
    </font>
    <font>
      <b/>
      <sz val="14"/>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sz val="10"/>
      <color indexed="9"/>
      <name val="Calibri"/>
      <family val="2"/>
      <scheme val="minor"/>
    </font>
    <font>
      <sz val="8"/>
      <color theme="1"/>
      <name val="Calibri"/>
      <family val="2"/>
      <scheme val="minor"/>
    </font>
    <font>
      <b/>
      <sz val="12"/>
      <name val="Calibri"/>
      <family val="2"/>
      <scheme val="minor"/>
    </font>
    <font>
      <b/>
      <sz val="18"/>
      <color theme="1"/>
      <name val="Calibri"/>
      <family val="2"/>
      <scheme val="minor"/>
    </font>
    <font>
      <i/>
      <sz val="12"/>
      <color theme="1"/>
      <name val="Calibri"/>
      <family val="2"/>
      <scheme val="minor"/>
    </font>
    <font>
      <sz val="10"/>
      <name val="Arial"/>
      <family val="2"/>
    </font>
    <font>
      <i/>
      <sz val="10"/>
      <color theme="1"/>
      <name val="Calibri"/>
      <family val="2"/>
      <scheme val="minor"/>
    </font>
    <font>
      <sz val="11"/>
      <color rgb="FFFF0000"/>
      <name val="Calibri"/>
      <family val="2"/>
      <scheme val="minor"/>
    </font>
    <font>
      <b/>
      <i/>
      <sz val="12"/>
      <color theme="1"/>
      <name val="Calibri"/>
      <family val="2"/>
      <scheme val="minor"/>
    </font>
    <font>
      <b/>
      <sz val="12"/>
      <color indexed="9"/>
      <name val="Calibri"/>
      <family val="2"/>
      <scheme val="minor"/>
    </font>
    <font>
      <b/>
      <sz val="11"/>
      <color indexed="8"/>
      <name val="Calibri"/>
      <family val="2"/>
      <scheme val="minor"/>
    </font>
    <font>
      <b/>
      <sz val="18"/>
      <color rgb="FFFF0000"/>
      <name val="Calibri"/>
      <family val="2"/>
      <scheme val="minor"/>
    </font>
    <font>
      <b/>
      <sz val="12"/>
      <color rgb="FFFF0000"/>
      <name val="Calibri"/>
      <family val="2"/>
      <scheme val="minor"/>
    </font>
    <font>
      <b/>
      <sz val="14"/>
      <color indexed="18"/>
      <name val="Calibri"/>
      <family val="2"/>
      <scheme val="minor"/>
    </font>
    <font>
      <b/>
      <sz val="14"/>
      <color indexed="8"/>
      <name val="Calibri"/>
      <family val="2"/>
      <scheme val="minor"/>
    </font>
    <font>
      <b/>
      <sz val="14"/>
      <color indexed="9"/>
      <name val="Calibri"/>
      <family val="2"/>
      <scheme val="minor"/>
    </font>
    <font>
      <sz val="14"/>
      <color indexed="9"/>
      <name val="Calibri"/>
      <family val="2"/>
      <scheme val="minor"/>
    </font>
    <font>
      <b/>
      <sz val="14"/>
      <color rgb="FFFF0000"/>
      <name val="Calibri"/>
      <family val="2"/>
      <scheme val="minor"/>
    </font>
    <font>
      <sz val="14"/>
      <color rgb="FFFF0000"/>
      <name val="Calibri"/>
      <family val="2"/>
      <scheme val="minor"/>
    </font>
    <font>
      <b/>
      <sz val="11"/>
      <color indexed="18"/>
      <name val="Calibri"/>
      <family val="2"/>
      <scheme val="minor"/>
    </font>
  </fonts>
  <fills count="21">
    <fill>
      <patternFill patternType="none"/>
    </fill>
    <fill>
      <patternFill patternType="gray125"/>
    </fill>
    <fill>
      <patternFill patternType="solid">
        <fgColor rgb="FFFFFFCC"/>
      </patternFill>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
      <patternFill patternType="solid">
        <fgColor theme="5" tint="0.59999389629810485"/>
        <bgColor indexed="64"/>
      </patternFill>
    </fill>
    <fill>
      <patternFill patternType="solid">
        <fgColor rgb="FFFF330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theme="0" tint="-0.34998626667073579"/>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theme="0"/>
      </right>
      <top style="thin">
        <color indexed="64"/>
      </top>
      <bottom/>
      <diagonal/>
    </border>
    <border>
      <left style="thin">
        <color indexed="64"/>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s>
  <cellStyleXfs count="6">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13" fillId="0" borderId="0"/>
  </cellStyleXfs>
  <cellXfs count="107">
    <xf numFmtId="0" fontId="0" fillId="0" borderId="0" xfId="0"/>
    <xf numFmtId="0" fontId="2" fillId="0" borderId="0" xfId="0" applyFont="1"/>
    <xf numFmtId="0" fontId="3" fillId="0" borderId="0" xfId="0" applyFont="1"/>
    <xf numFmtId="0" fontId="4" fillId="0" borderId="0" xfId="0" applyFont="1"/>
    <xf numFmtId="0" fontId="4" fillId="3" borderId="0" xfId="0" applyFont="1" applyFill="1"/>
    <xf numFmtId="0" fontId="3" fillId="0" borderId="0" xfId="0" applyFont="1" applyAlignment="1">
      <alignment horizontal="left"/>
    </xf>
    <xf numFmtId="0" fontId="2" fillId="3" borderId="0" xfId="0" applyFont="1" applyFill="1"/>
    <xf numFmtId="0" fontId="5" fillId="0" borderId="0" xfId="0" applyFont="1"/>
    <xf numFmtId="0" fontId="6" fillId="0" borderId="0" xfId="0" applyFont="1"/>
    <xf numFmtId="0" fontId="6" fillId="4" borderId="2" xfId="0" applyFont="1" applyFill="1" applyBorder="1" applyAlignment="1">
      <alignment wrapText="1"/>
    </xf>
    <xf numFmtId="0" fontId="6" fillId="5" borderId="2" xfId="0" applyFont="1" applyFill="1" applyBorder="1"/>
    <xf numFmtId="167" fontId="6" fillId="5" borderId="2" xfId="3" applyNumberFormat="1" applyFont="1" applyFill="1" applyBorder="1"/>
    <xf numFmtId="0" fontId="2" fillId="0" borderId="3" xfId="0" applyFont="1" applyBorder="1"/>
    <xf numFmtId="0" fontId="7" fillId="6" borderId="4" xfId="0" applyFont="1" applyFill="1" applyBorder="1" applyAlignment="1">
      <alignment vertical="center" wrapText="1"/>
    </xf>
    <xf numFmtId="167" fontId="7" fillId="6" borderId="5" xfId="0" applyNumberFormat="1" applyFont="1" applyFill="1" applyBorder="1" applyAlignment="1">
      <alignment vertical="center"/>
    </xf>
    <xf numFmtId="0" fontId="6" fillId="7" borderId="6" xfId="0" applyFont="1" applyFill="1" applyBorder="1"/>
    <xf numFmtId="167" fontId="6" fillId="7" borderId="2" xfId="1" applyNumberFormat="1" applyFont="1" applyFill="1" applyBorder="1"/>
    <xf numFmtId="0" fontId="6" fillId="8" borderId="6" xfId="0" applyFont="1" applyFill="1" applyBorder="1"/>
    <xf numFmtId="0" fontId="8" fillId="9" borderId="7" xfId="0" applyFont="1" applyFill="1" applyBorder="1" applyAlignment="1">
      <alignment horizontal="right"/>
    </xf>
    <xf numFmtId="0" fontId="8" fillId="9" borderId="10" xfId="0" applyFont="1" applyFill="1" applyBorder="1" applyAlignment="1">
      <alignment horizontal="right"/>
    </xf>
    <xf numFmtId="0" fontId="9" fillId="0" borderId="0" xfId="0" applyFont="1" applyAlignment="1">
      <alignment vertical="top" wrapText="1"/>
    </xf>
    <xf numFmtId="0" fontId="11" fillId="12" borderId="0" xfId="0" applyFont="1" applyFill="1"/>
    <xf numFmtId="0" fontId="6" fillId="12" borderId="0" xfId="0" quotePrefix="1" applyFont="1" applyFill="1" applyAlignment="1">
      <alignment horizontal="right" vertical="top"/>
    </xf>
    <xf numFmtId="0" fontId="6" fillId="12" borderId="0" xfId="0" applyFont="1" applyFill="1" applyAlignment="1">
      <alignment vertical="top"/>
    </xf>
    <xf numFmtId="0" fontId="6" fillId="12" borderId="0" xfId="0" quotePrefix="1" applyFont="1" applyFill="1" applyAlignment="1">
      <alignment horizontal="right"/>
    </xf>
    <xf numFmtId="0" fontId="6" fillId="12" borderId="0" xfId="0" applyFont="1" applyFill="1"/>
    <xf numFmtId="0" fontId="10" fillId="12" borderId="0" xfId="0" applyFont="1" applyFill="1" applyAlignment="1">
      <alignment vertical="top" wrapText="1"/>
    </xf>
    <xf numFmtId="1" fontId="6" fillId="5" borderId="2" xfId="3" applyNumberFormat="1" applyFont="1" applyFill="1" applyBorder="1" applyAlignment="1">
      <alignment horizontal="right"/>
    </xf>
    <xf numFmtId="0" fontId="14" fillId="0" borderId="0" xfId="0" applyFont="1" applyAlignment="1">
      <alignment vertical="top"/>
    </xf>
    <xf numFmtId="0" fontId="6" fillId="0" borderId="0" xfId="4" applyFont="1" applyFill="1" applyBorder="1" applyAlignment="1">
      <alignment vertical="top"/>
    </xf>
    <xf numFmtId="0" fontId="6" fillId="0" borderId="0" xfId="4" applyFont="1" applyFill="1" applyBorder="1" applyAlignment="1">
      <alignment vertical="top" wrapText="1"/>
    </xf>
    <xf numFmtId="0" fontId="14" fillId="0" borderId="0" xfId="0" applyFont="1" applyAlignment="1">
      <alignment vertical="top" wrapText="1"/>
    </xf>
    <xf numFmtId="0" fontId="12" fillId="0" borderId="0" xfId="0" applyFont="1"/>
    <xf numFmtId="0" fontId="12" fillId="0" borderId="0" xfId="0" applyFont="1" applyAlignment="1">
      <alignment vertical="top" wrapText="1"/>
    </xf>
    <xf numFmtId="166" fontId="6" fillId="8" borderId="2" xfId="2" applyNumberFormat="1" applyFont="1" applyFill="1" applyBorder="1"/>
    <xf numFmtId="0" fontId="17" fillId="9" borderId="10" xfId="0" applyFont="1" applyFill="1" applyBorder="1" applyAlignment="1">
      <alignment horizontal="left"/>
    </xf>
    <xf numFmtId="0" fontId="17" fillId="9" borderId="7" xfId="0" applyFont="1" applyFill="1" applyBorder="1" applyAlignment="1">
      <alignment horizontal="left"/>
    </xf>
    <xf numFmtId="0" fontId="18" fillId="10" borderId="0" xfId="0" applyFont="1" applyFill="1" applyAlignment="1">
      <alignment horizontal="left"/>
    </xf>
    <xf numFmtId="0" fontId="0" fillId="0" borderId="0" xfId="0" quotePrefix="1"/>
    <xf numFmtId="0" fontId="19" fillId="12" borderId="0" xfId="0" applyFont="1" applyFill="1"/>
    <xf numFmtId="0" fontId="15" fillId="0" borderId="0" xfId="0" applyFont="1"/>
    <xf numFmtId="0" fontId="20" fillId="12" borderId="0" xfId="0" applyFont="1" applyFill="1" applyAlignment="1">
      <alignment vertical="top" wrapText="1"/>
    </xf>
    <xf numFmtId="0" fontId="15" fillId="0" borderId="0" xfId="0" applyFont="1" applyAlignment="1">
      <alignment horizontal="left" vertical="top" wrapText="1"/>
    </xf>
    <xf numFmtId="167" fontId="6" fillId="4" borderId="2" xfId="0" applyNumberFormat="1" applyFont="1" applyFill="1" applyBorder="1"/>
    <xf numFmtId="0" fontId="3" fillId="3" borderId="0" xfId="0" applyFont="1" applyFill="1"/>
    <xf numFmtId="0" fontId="4" fillId="13" borderId="0" xfId="0" applyFont="1" applyFill="1"/>
    <xf numFmtId="0" fontId="3" fillId="14" borderId="0" xfId="0" applyFont="1" applyFill="1"/>
    <xf numFmtId="0" fontId="4" fillId="14" borderId="0" xfId="0" applyFont="1" applyFill="1"/>
    <xf numFmtId="0" fontId="4" fillId="15" borderId="0" xfId="0" applyFont="1" applyFill="1"/>
    <xf numFmtId="0" fontId="0" fillId="16" borderId="0" xfId="0" applyFill="1"/>
    <xf numFmtId="0" fontId="11" fillId="16" borderId="0" xfId="0" applyFont="1" applyFill="1"/>
    <xf numFmtId="0" fontId="0" fillId="17" borderId="0" xfId="0" applyFill="1"/>
    <xf numFmtId="0" fontId="3" fillId="2" borderId="0" xfId="4" applyFont="1" applyBorder="1" applyAlignment="1">
      <alignment vertical="top"/>
    </xf>
    <xf numFmtId="0" fontId="0" fillId="0" borderId="0" xfId="0" applyAlignment="1">
      <alignment horizontal="center"/>
    </xf>
    <xf numFmtId="0" fontId="8" fillId="9" borderId="7" xfId="0" applyFont="1" applyFill="1" applyBorder="1" applyAlignment="1">
      <alignment horizontal="center"/>
    </xf>
    <xf numFmtId="0" fontId="8" fillId="9" borderId="10" xfId="0" applyFont="1" applyFill="1" applyBorder="1" applyAlignment="1">
      <alignment horizontal="center"/>
    </xf>
    <xf numFmtId="0" fontId="9" fillId="0" borderId="0" xfId="0" applyFont="1" applyAlignment="1">
      <alignment horizontal="center" vertical="top" wrapText="1"/>
    </xf>
    <xf numFmtId="0" fontId="0" fillId="12" borderId="0" xfId="0" applyFill="1"/>
    <xf numFmtId="0" fontId="21" fillId="10" borderId="9" xfId="0" applyFont="1" applyFill="1" applyBorder="1" applyAlignment="1">
      <alignment horizontal="left"/>
    </xf>
    <xf numFmtId="0" fontId="4" fillId="0" borderId="9" xfId="0" applyFont="1" applyBorder="1"/>
    <xf numFmtId="0" fontId="22" fillId="10" borderId="0" xfId="0" applyFont="1" applyFill="1" applyAlignment="1">
      <alignment horizontal="left"/>
    </xf>
    <xf numFmtId="167" fontId="4" fillId="0" borderId="0" xfId="0" applyNumberFormat="1" applyFont="1"/>
    <xf numFmtId="167" fontId="4" fillId="11" borderId="0" xfId="0" applyNumberFormat="1" applyFont="1" applyFill="1"/>
    <xf numFmtId="0" fontId="22" fillId="10" borderId="8" xfId="0" applyFont="1" applyFill="1" applyBorder="1" applyAlignment="1">
      <alignment horizontal="left"/>
    </xf>
    <xf numFmtId="167" fontId="4" fillId="0" borderId="8" xfId="0" applyNumberFormat="1" applyFont="1" applyBorder="1"/>
    <xf numFmtId="0" fontId="4" fillId="0" borderId="9" xfId="0" applyFont="1" applyBorder="1" applyAlignment="1">
      <alignment horizontal="center"/>
    </xf>
    <xf numFmtId="167" fontId="4" fillId="0" borderId="0" xfId="0" applyNumberFormat="1" applyFont="1" applyAlignment="1">
      <alignment horizontal="center"/>
    </xf>
    <xf numFmtId="167" fontId="4" fillId="11" borderId="0" xfId="0" applyNumberFormat="1" applyFont="1" applyFill="1" applyAlignment="1">
      <alignment horizontal="center"/>
    </xf>
    <xf numFmtId="167" fontId="4" fillId="0" borderId="8" xfId="0" applyNumberFormat="1" applyFont="1" applyBorder="1" applyAlignment="1">
      <alignment horizontal="center"/>
    </xf>
    <xf numFmtId="0" fontId="23" fillId="9" borderId="7" xfId="0" applyFont="1" applyFill="1" applyBorder="1" applyAlignment="1">
      <alignment horizontal="left"/>
    </xf>
    <xf numFmtId="0" fontId="23" fillId="9" borderId="10" xfId="0" applyFont="1" applyFill="1" applyBorder="1" applyAlignment="1">
      <alignment horizontal="left"/>
    </xf>
    <xf numFmtId="0" fontId="24" fillId="9" borderId="10" xfId="0" applyFont="1" applyFill="1" applyBorder="1" applyAlignment="1">
      <alignment horizontal="right"/>
    </xf>
    <xf numFmtId="0" fontId="4" fillId="0" borderId="0" xfId="0" applyFont="1" applyAlignment="1">
      <alignment vertical="top" wrapText="1"/>
    </xf>
    <xf numFmtId="0" fontId="0" fillId="16" borderId="0" xfId="0" applyFill="1" applyAlignment="1">
      <alignment horizontal="center"/>
    </xf>
    <xf numFmtId="0" fontId="24" fillId="9" borderId="7" xfId="0" applyFont="1" applyFill="1" applyBorder="1" applyAlignment="1">
      <alignment horizontal="center"/>
    </xf>
    <xf numFmtId="0" fontId="24" fillId="9" borderId="10" xfId="0" applyFont="1" applyFill="1" applyBorder="1" applyAlignment="1">
      <alignment horizontal="center"/>
    </xf>
    <xf numFmtId="0" fontId="4" fillId="0" borderId="0" xfId="0" applyFont="1" applyAlignment="1">
      <alignment horizontal="center"/>
    </xf>
    <xf numFmtId="0" fontId="4" fillId="0" borderId="0" xfId="0" applyFont="1" applyAlignment="1">
      <alignment horizontal="center" vertical="top" wrapText="1"/>
    </xf>
    <xf numFmtId="0" fontId="11" fillId="16" borderId="0" xfId="0" applyFont="1" applyFill="1" applyAlignment="1">
      <alignment horizontal="left"/>
    </xf>
    <xf numFmtId="1" fontId="4" fillId="0" borderId="0" xfId="0" applyNumberFormat="1" applyFont="1"/>
    <xf numFmtId="1" fontId="4" fillId="11" borderId="0" xfId="0" applyNumberFormat="1" applyFont="1" applyFill="1"/>
    <xf numFmtId="0" fontId="23" fillId="9" borderId="10" xfId="0" applyFont="1" applyFill="1" applyBorder="1" applyAlignment="1">
      <alignment horizontal="center"/>
    </xf>
    <xf numFmtId="0" fontId="22" fillId="10" borderId="0" xfId="0" applyFont="1" applyFill="1" applyAlignment="1">
      <alignment horizontal="center"/>
    </xf>
    <xf numFmtId="0" fontId="21" fillId="10" borderId="9" xfId="0" applyFont="1" applyFill="1" applyBorder="1" applyAlignment="1">
      <alignment horizontal="center"/>
    </xf>
    <xf numFmtId="0" fontId="4" fillId="11" borderId="0" xfId="0" applyFont="1" applyFill="1" applyAlignment="1">
      <alignment horizontal="center"/>
    </xf>
    <xf numFmtId="0" fontId="22" fillId="10" borderId="8" xfId="0" applyFont="1" applyFill="1" applyBorder="1" applyAlignment="1">
      <alignment horizontal="center"/>
    </xf>
    <xf numFmtId="167" fontId="3" fillId="18" borderId="8" xfId="0" applyNumberFormat="1" applyFont="1" applyFill="1" applyBorder="1" applyAlignment="1">
      <alignment horizontal="center"/>
    </xf>
    <xf numFmtId="167" fontId="3" fillId="18" borderId="8" xfId="0" applyNumberFormat="1" applyFont="1" applyFill="1" applyBorder="1"/>
    <xf numFmtId="167" fontId="25" fillId="19" borderId="8" xfId="0" applyNumberFormat="1" applyFont="1" applyFill="1" applyBorder="1" applyAlignment="1">
      <alignment horizontal="center"/>
    </xf>
    <xf numFmtId="167" fontId="26" fillId="0" borderId="8" xfId="0" applyNumberFormat="1" applyFont="1" applyBorder="1"/>
    <xf numFmtId="167" fontId="26" fillId="0" borderId="8" xfId="0" applyNumberFormat="1" applyFont="1" applyBorder="1" applyAlignment="1">
      <alignment horizontal="center"/>
    </xf>
    <xf numFmtId="0" fontId="0" fillId="20" borderId="0" xfId="0" applyFill="1" applyAlignment="1">
      <alignment horizontal="center"/>
    </xf>
    <xf numFmtId="0" fontId="0" fillId="20" borderId="0" xfId="0" applyFill="1"/>
    <xf numFmtId="0" fontId="6" fillId="0" borderId="0" xfId="0" applyFont="1" applyAlignment="1">
      <alignment horizontal="left" vertical="top" wrapText="1"/>
    </xf>
    <xf numFmtId="0" fontId="6" fillId="0" borderId="0" xfId="0" quotePrefix="1" applyFont="1" applyAlignment="1">
      <alignment horizontal="left" vertical="top" wrapText="1"/>
    </xf>
    <xf numFmtId="0" fontId="15" fillId="0" borderId="0" xfId="0" applyFont="1" applyAlignment="1">
      <alignment horizontal="left" vertical="top" wrapText="1"/>
    </xf>
    <xf numFmtId="0" fontId="10" fillId="12" borderId="0" xfId="0" applyFont="1" applyFill="1" applyAlignment="1">
      <alignment horizontal="left" vertical="top" wrapText="1"/>
    </xf>
    <xf numFmtId="0" fontId="12" fillId="0" borderId="0" xfId="0" applyFont="1" applyAlignment="1">
      <alignment horizontal="left" vertical="top" wrapText="1"/>
    </xf>
    <xf numFmtId="0" fontId="0" fillId="0" borderId="0" xfId="0" applyFill="1" applyBorder="1" applyAlignment="1"/>
    <xf numFmtId="167" fontId="0" fillId="0" borderId="0" xfId="0" applyNumberFormat="1" applyFill="1" applyBorder="1" applyAlignment="1"/>
    <xf numFmtId="167" fontId="0" fillId="0" borderId="8" xfId="0" applyNumberFormat="1" applyFill="1" applyBorder="1" applyAlignment="1"/>
    <xf numFmtId="0" fontId="0" fillId="0" borderId="9" xfId="0" applyFill="1" applyBorder="1" applyAlignment="1"/>
    <xf numFmtId="0" fontId="18" fillId="10" borderId="0" xfId="0" applyFont="1" applyFill="1" applyBorder="1" applyAlignment="1">
      <alignment horizontal="left"/>
    </xf>
    <xf numFmtId="0" fontId="27" fillId="10" borderId="9" xfId="0" applyFont="1" applyFill="1" applyBorder="1" applyAlignment="1">
      <alignment horizontal="left"/>
    </xf>
    <xf numFmtId="0" fontId="18" fillId="10" borderId="8" xfId="0" applyFont="1" applyFill="1" applyBorder="1" applyAlignment="1">
      <alignment horizontal="left"/>
    </xf>
    <xf numFmtId="167" fontId="0" fillId="11" borderId="0" xfId="0" applyNumberFormat="1" applyFill="1" applyBorder="1" applyAlignment="1"/>
    <xf numFmtId="0" fontId="9" fillId="0" borderId="0" xfId="0" applyFont="1" applyFill="1" applyBorder="1" applyAlignment="1">
      <alignment vertical="top" wrapText="1"/>
    </xf>
  </cellXfs>
  <cellStyles count="6">
    <cellStyle name="Comma" xfId="1" builtinId="3"/>
    <cellStyle name="Currency" xfId="2" builtinId="4"/>
    <cellStyle name="Normal" xfId="0" builtinId="0"/>
    <cellStyle name="Normal 3" xfId="5" xr:uid="{00000000-0005-0000-0000-000003000000}"/>
    <cellStyle name="Note" xfId="4" builtinId="10"/>
    <cellStyle name="Percent" xfId="3"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574597</xdr:colOff>
      <xdr:row>1</xdr:row>
      <xdr:rowOff>40005</xdr:rowOff>
    </xdr:from>
    <xdr:to>
      <xdr:col>26</xdr:col>
      <xdr:colOff>521765</xdr:colOff>
      <xdr:row>22</xdr:row>
      <xdr:rowOff>47625</xdr:rowOff>
    </xdr:to>
    <xdr:pic>
      <xdr:nvPicPr>
        <xdr:cNvPr id="2" name="Picture 1">
          <a:extLst>
            <a:ext uri="{FF2B5EF4-FFF2-40B4-BE49-F238E27FC236}">
              <a16:creationId xmlns:a16="http://schemas.microsoft.com/office/drawing/2014/main" id="{E5BB923B-9CE4-CAEE-D37E-770BF6206993}"/>
            </a:ext>
          </a:extLst>
        </xdr:cNvPr>
        <xdr:cNvPicPr>
          <a:picLocks noChangeAspect="1"/>
        </xdr:cNvPicPr>
      </xdr:nvPicPr>
      <xdr:blipFill>
        <a:blip xmlns:r="http://schemas.openxmlformats.org/officeDocument/2006/relationships" r:embed="rId1"/>
        <a:stretch>
          <a:fillRect/>
        </a:stretch>
      </xdr:blipFill>
      <xdr:spPr>
        <a:xfrm>
          <a:off x="6146722" y="278130"/>
          <a:ext cx="9700768" cy="49701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171450</xdr:colOff>
      <xdr:row>14</xdr:row>
      <xdr:rowOff>142875</xdr:rowOff>
    </xdr:from>
    <xdr:ext cx="4943475" cy="2284023"/>
    <xdr:sp macro="" textlink="">
      <xdr:nvSpPr>
        <xdr:cNvPr id="2" name="TextBox 1">
          <a:extLst>
            <a:ext uri="{FF2B5EF4-FFF2-40B4-BE49-F238E27FC236}">
              <a16:creationId xmlns:a16="http://schemas.microsoft.com/office/drawing/2014/main" id="{27D27D6F-06E2-44F1-B932-5596790FDB08}"/>
            </a:ext>
          </a:extLst>
        </xdr:cNvPr>
        <xdr:cNvSpPr txBox="1"/>
      </xdr:nvSpPr>
      <xdr:spPr>
        <a:xfrm>
          <a:off x="781050" y="2952750"/>
          <a:ext cx="4943475" cy="228402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000" b="1">
              <a:solidFill>
                <a:srgbClr val="0070C0"/>
              </a:solidFill>
            </a:rPr>
            <a:t>Scenario analysis was performed on the base values of stocastic inputs and different level of choices of decison variables</a:t>
          </a:r>
        </a:p>
        <a:p>
          <a:endParaRPr lang="en-AU" sz="2000" b="1">
            <a:solidFill>
              <a:srgbClr val="0070C0"/>
            </a:solidFill>
          </a:endParaRPr>
        </a:p>
        <a:p>
          <a:r>
            <a:rPr lang="en-AU" sz="2000" b="1">
              <a:solidFill>
                <a:srgbClr val="0070C0"/>
              </a:solidFill>
              <a:effectLst/>
              <a:latin typeface="+mn-lt"/>
              <a:ea typeface="+mn-ea"/>
              <a:cs typeface="+mn-cs"/>
            </a:rPr>
            <a:t>Here the scenario analysis done for</a:t>
          </a:r>
          <a:r>
            <a:rPr lang="en-AU" sz="2000" b="1" baseline="0">
              <a:solidFill>
                <a:srgbClr val="0070C0"/>
              </a:solidFill>
              <a:effectLst/>
              <a:latin typeface="+mn-lt"/>
              <a:ea typeface="+mn-ea"/>
              <a:cs typeface="+mn-cs"/>
            </a:rPr>
            <a:t> the output variable, First year Profit  based on the change of </a:t>
          </a:r>
          <a:r>
            <a:rPr lang="en-AU" sz="2000" b="1" baseline="0">
              <a:solidFill>
                <a:srgbClr val="FF0000"/>
              </a:solidFill>
            </a:rPr>
            <a:t>Labour cost</a:t>
          </a:r>
          <a:endParaRPr lang="en-AU" sz="2000" b="1">
            <a:solidFill>
              <a:srgbClr val="FF0000"/>
            </a:solidFill>
          </a:endParaRPr>
        </a:p>
      </xdr:txBody>
    </xdr:sp>
    <xdr:clientData/>
  </xdr:oneCellAnchor>
  <xdr:oneCellAnchor>
    <xdr:from>
      <xdr:col>11</xdr:col>
      <xdr:colOff>466725</xdr:colOff>
      <xdr:row>17</xdr:row>
      <xdr:rowOff>76200</xdr:rowOff>
    </xdr:from>
    <xdr:ext cx="5667375" cy="1188146"/>
    <xdr:sp macro="" textlink="">
      <xdr:nvSpPr>
        <xdr:cNvPr id="3" name="TextBox 2">
          <a:extLst>
            <a:ext uri="{FF2B5EF4-FFF2-40B4-BE49-F238E27FC236}">
              <a16:creationId xmlns:a16="http://schemas.microsoft.com/office/drawing/2014/main" id="{3FF0B2C7-9050-EF81-B37E-0DFA41D6AC5F}"/>
            </a:ext>
          </a:extLst>
        </xdr:cNvPr>
        <xdr:cNvSpPr txBox="1"/>
      </xdr:nvSpPr>
      <xdr:spPr>
        <a:xfrm>
          <a:off x="8810625" y="3457575"/>
          <a:ext cx="5667375" cy="118814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400" b="1">
              <a:solidFill>
                <a:schemeClr val="tx1"/>
              </a:solidFill>
            </a:rPr>
            <a:t>When working with multiple decision variables, you may designate one as the primary decision variable. In such cases, during scenario analysis, you can hold the other decision variables fixed at their base levels or values. You should clearly justify the selection of this primary decision variable in the Scenario Analysis section</a:t>
          </a:r>
          <a:endParaRPr lang="en-AU" sz="1100" b="1">
            <a:solidFill>
              <a:schemeClr val="tx1"/>
            </a:solidFill>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14</xdr:row>
      <xdr:rowOff>0</xdr:rowOff>
    </xdr:from>
    <xdr:ext cx="4943475" cy="2284023"/>
    <xdr:sp macro="" textlink="">
      <xdr:nvSpPr>
        <xdr:cNvPr id="2" name="TextBox 1">
          <a:extLst>
            <a:ext uri="{FF2B5EF4-FFF2-40B4-BE49-F238E27FC236}">
              <a16:creationId xmlns:a16="http://schemas.microsoft.com/office/drawing/2014/main" id="{9674B3D7-7077-42A3-A35E-263B0474A8F6}"/>
            </a:ext>
          </a:extLst>
        </xdr:cNvPr>
        <xdr:cNvSpPr txBox="1"/>
      </xdr:nvSpPr>
      <xdr:spPr>
        <a:xfrm>
          <a:off x="609600" y="2619375"/>
          <a:ext cx="4943475" cy="228402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000" b="1">
              <a:solidFill>
                <a:srgbClr val="0070C0"/>
              </a:solidFill>
            </a:rPr>
            <a:t>Scenario analysis was performed on the base values of stocastic inputs and different level of choices of decison variables</a:t>
          </a:r>
        </a:p>
        <a:p>
          <a:endParaRPr lang="en-AU" sz="2000" b="1">
            <a:solidFill>
              <a:srgbClr val="0070C0"/>
            </a:solidFill>
          </a:endParaRPr>
        </a:p>
        <a:p>
          <a:r>
            <a:rPr lang="en-AU" sz="2000" b="1">
              <a:solidFill>
                <a:srgbClr val="0070C0"/>
              </a:solidFill>
              <a:effectLst/>
              <a:latin typeface="+mn-lt"/>
              <a:ea typeface="+mn-ea"/>
              <a:cs typeface="+mn-cs"/>
            </a:rPr>
            <a:t>Here the scenario analysis done for</a:t>
          </a:r>
          <a:r>
            <a:rPr lang="en-AU" sz="2000" b="1" baseline="0">
              <a:solidFill>
                <a:srgbClr val="0070C0"/>
              </a:solidFill>
              <a:effectLst/>
              <a:latin typeface="+mn-lt"/>
              <a:ea typeface="+mn-ea"/>
              <a:cs typeface="+mn-cs"/>
            </a:rPr>
            <a:t> the output variable, First year Profit  based on the change of  </a:t>
          </a:r>
          <a:r>
            <a:rPr lang="en-AU" sz="2000" b="1" baseline="0">
              <a:solidFill>
                <a:srgbClr val="FF0000"/>
              </a:solidFill>
            </a:rPr>
            <a:t>cost of the parts</a:t>
          </a:r>
          <a:endParaRPr lang="en-AU" sz="2000" b="1">
            <a:solidFill>
              <a:srgbClr val="FF0000"/>
            </a:solidFill>
          </a:endParaRPr>
        </a:p>
      </xdr:txBody>
    </xdr:sp>
    <xdr:clientData/>
  </xdr:oneCellAnchor>
  <xdr:oneCellAnchor>
    <xdr:from>
      <xdr:col>11</xdr:col>
      <xdr:colOff>47625</xdr:colOff>
      <xdr:row>15</xdr:row>
      <xdr:rowOff>152400</xdr:rowOff>
    </xdr:from>
    <xdr:ext cx="5667375" cy="1188146"/>
    <xdr:sp macro="" textlink="">
      <xdr:nvSpPr>
        <xdr:cNvPr id="4" name="TextBox 3">
          <a:extLst>
            <a:ext uri="{FF2B5EF4-FFF2-40B4-BE49-F238E27FC236}">
              <a16:creationId xmlns:a16="http://schemas.microsoft.com/office/drawing/2014/main" id="{73FC9C86-A25B-42C0-BB88-143ACEE18586}"/>
            </a:ext>
          </a:extLst>
        </xdr:cNvPr>
        <xdr:cNvSpPr txBox="1"/>
      </xdr:nvSpPr>
      <xdr:spPr>
        <a:xfrm>
          <a:off x="11306175" y="3228975"/>
          <a:ext cx="5667375" cy="118814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400" b="1">
              <a:solidFill>
                <a:schemeClr val="tx1"/>
              </a:solidFill>
            </a:rPr>
            <a:t>When working with multiple decision variables, you may designate one as the primary decision variable. In such cases, during scenario analysis, you can hold the other decision variables fixed at their base levels or values. You should clearly justify the selection of this primary decision variable in the Scenario Analysis section</a:t>
          </a:r>
          <a:endParaRPr lang="en-AU" sz="1100" b="1">
            <a:solidFill>
              <a:schemeClr val="tx1"/>
            </a:solidFill>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161925</xdr:colOff>
      <xdr:row>13</xdr:row>
      <xdr:rowOff>47625</xdr:rowOff>
    </xdr:from>
    <xdr:ext cx="4943475" cy="2284023"/>
    <xdr:sp macro="" textlink="">
      <xdr:nvSpPr>
        <xdr:cNvPr id="2" name="TextBox 1">
          <a:extLst>
            <a:ext uri="{FF2B5EF4-FFF2-40B4-BE49-F238E27FC236}">
              <a16:creationId xmlns:a16="http://schemas.microsoft.com/office/drawing/2014/main" id="{AEBB9901-85BA-9B13-C758-FB2811A4F795}"/>
            </a:ext>
          </a:extLst>
        </xdr:cNvPr>
        <xdr:cNvSpPr txBox="1"/>
      </xdr:nvSpPr>
      <xdr:spPr>
        <a:xfrm>
          <a:off x="771525" y="2667000"/>
          <a:ext cx="4943475" cy="228402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000" b="1">
              <a:solidFill>
                <a:srgbClr val="0070C0"/>
              </a:solidFill>
            </a:rPr>
            <a:t>Scenario analysis was performed on the base values of stocastic inputs and different level of choices of decison variables</a:t>
          </a:r>
        </a:p>
        <a:p>
          <a:endParaRPr lang="en-AU" sz="2000" b="1">
            <a:solidFill>
              <a:srgbClr val="0070C0"/>
            </a:solidFill>
          </a:endParaRPr>
        </a:p>
        <a:p>
          <a:r>
            <a:rPr lang="en-AU" sz="2000" b="1">
              <a:solidFill>
                <a:srgbClr val="0070C0"/>
              </a:solidFill>
            </a:rPr>
            <a:t>Here the scenario analysis done for</a:t>
          </a:r>
          <a:r>
            <a:rPr lang="en-AU" sz="2000" b="1" baseline="0">
              <a:solidFill>
                <a:srgbClr val="0070C0"/>
              </a:solidFill>
            </a:rPr>
            <a:t> the output variable, First year Profit  based on the change of </a:t>
          </a:r>
          <a:r>
            <a:rPr lang="en-AU" sz="2000" b="1" baseline="0">
              <a:solidFill>
                <a:srgbClr val="FF0000"/>
              </a:solidFill>
            </a:rPr>
            <a:t>Demand</a:t>
          </a:r>
          <a:endParaRPr lang="en-AU" sz="2000" b="1">
            <a:solidFill>
              <a:srgbClr val="FF0000"/>
            </a:solidFill>
          </a:endParaRPr>
        </a:p>
      </xdr:txBody>
    </xdr:sp>
    <xdr:clientData/>
  </xdr:oneCellAnchor>
  <xdr:oneCellAnchor>
    <xdr:from>
      <xdr:col>11</xdr:col>
      <xdr:colOff>476250</xdr:colOff>
      <xdr:row>13</xdr:row>
      <xdr:rowOff>180975</xdr:rowOff>
    </xdr:from>
    <xdr:ext cx="5667375" cy="1188146"/>
    <xdr:sp macro="" textlink="">
      <xdr:nvSpPr>
        <xdr:cNvPr id="4" name="TextBox 3">
          <a:extLst>
            <a:ext uri="{FF2B5EF4-FFF2-40B4-BE49-F238E27FC236}">
              <a16:creationId xmlns:a16="http://schemas.microsoft.com/office/drawing/2014/main" id="{414DFC99-D1A6-4AD6-8C95-75FC86826D09}"/>
            </a:ext>
          </a:extLst>
        </xdr:cNvPr>
        <xdr:cNvSpPr txBox="1"/>
      </xdr:nvSpPr>
      <xdr:spPr>
        <a:xfrm>
          <a:off x="10048875" y="2828925"/>
          <a:ext cx="5667375" cy="118814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400" b="1">
              <a:solidFill>
                <a:schemeClr val="tx1"/>
              </a:solidFill>
            </a:rPr>
            <a:t>When working with multiple decision variables, you may designate one as the primary decision variable. In such cases, during scenario analysis, you can hold the other decision variables fixed at their base levels or values. You should clearly justify the selection of this primary decision variable in the Scenario Analysis section</a:t>
          </a:r>
          <a:endParaRPr lang="en-AU" sz="1100" b="1">
            <a:solidFill>
              <a:schemeClr val="tx1"/>
            </a:solidFill>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47626</xdr:colOff>
      <xdr:row>22</xdr:row>
      <xdr:rowOff>28574</xdr:rowOff>
    </xdr:from>
    <xdr:ext cx="3800474" cy="3097771"/>
    <xdr:sp macro="" textlink="">
      <xdr:nvSpPr>
        <xdr:cNvPr id="2" name="TextBox 1">
          <a:extLst>
            <a:ext uri="{FF2B5EF4-FFF2-40B4-BE49-F238E27FC236}">
              <a16:creationId xmlns:a16="http://schemas.microsoft.com/office/drawing/2014/main" id="{FBC8227D-5390-3C13-A148-9C93DF2B9732}"/>
            </a:ext>
          </a:extLst>
        </xdr:cNvPr>
        <xdr:cNvSpPr txBox="1"/>
      </xdr:nvSpPr>
      <xdr:spPr>
        <a:xfrm>
          <a:off x="1266826" y="4762499"/>
          <a:ext cx="3800474" cy="30977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600" b="1">
              <a:solidFill>
                <a:srgbClr val="0070C0"/>
              </a:solidFill>
            </a:rPr>
            <a:t>***  Summarise your findings and analysis of the Scenario Analysis</a:t>
          </a:r>
        </a:p>
        <a:p>
          <a:endParaRPr lang="en-AU" sz="1600" b="1">
            <a:solidFill>
              <a:srgbClr val="0070C0"/>
            </a:solidFill>
          </a:endParaRPr>
        </a:p>
        <a:p>
          <a:r>
            <a:rPr lang="en-AU" sz="1600" b="1">
              <a:solidFill>
                <a:schemeClr val="tx1"/>
              </a:solidFill>
            </a:rPr>
            <a:t>The highest first year profit $ 2.608 millon</a:t>
          </a:r>
          <a:r>
            <a:rPr lang="en-AU" sz="1600" b="1" baseline="0">
              <a:solidFill>
                <a:schemeClr val="tx1"/>
              </a:solidFill>
            </a:rPr>
            <a:t> </a:t>
          </a:r>
          <a:r>
            <a:rPr lang="en-AU" sz="1600" b="1">
              <a:solidFill>
                <a:schemeClr val="tx1"/>
              </a:solidFill>
            </a:rPr>
            <a:t>is earned when the selling price is 299,</a:t>
          </a:r>
        </a:p>
        <a:p>
          <a:r>
            <a:rPr lang="en-AU" sz="1600" b="1">
              <a:solidFill>
                <a:schemeClr val="tx1"/>
              </a:solidFill>
            </a:rPr>
            <a:t> labour cost is $45, </a:t>
          </a:r>
        </a:p>
        <a:p>
          <a:r>
            <a:rPr lang="en-AU" sz="1600" b="1">
              <a:solidFill>
                <a:schemeClr val="tx1"/>
              </a:solidFill>
            </a:rPr>
            <a:t>Cost of Parts is $90, </a:t>
          </a:r>
        </a:p>
        <a:p>
          <a:r>
            <a:rPr lang="en-AU" sz="1600" b="1">
              <a:solidFill>
                <a:schemeClr val="tx1"/>
              </a:solidFill>
            </a:rPr>
            <a:t>Demand is 22000</a:t>
          </a:r>
        </a:p>
        <a:p>
          <a:endParaRPr lang="en-AU" sz="1600" b="1">
            <a:solidFill>
              <a:srgbClr val="0070C0"/>
            </a:solidFill>
          </a:endParaRPr>
        </a:p>
        <a:p>
          <a:r>
            <a:rPr lang="en-AU" sz="1600" b="1">
              <a:solidFill>
                <a:schemeClr val="tx1"/>
              </a:solidFill>
            </a:rPr>
            <a:t>Additionally, when the demand is zero, a loss is always incurred regardless of whether the selling price is $249 or $299.</a:t>
          </a:r>
        </a:p>
      </xdr:txBody>
    </xdr:sp>
    <xdr:clientData/>
  </xdr:oneCellAnchor>
  <xdr:oneCellAnchor>
    <xdr:from>
      <xdr:col>18</xdr:col>
      <xdr:colOff>0</xdr:colOff>
      <xdr:row>2</xdr:row>
      <xdr:rowOff>0</xdr:rowOff>
    </xdr:from>
    <xdr:ext cx="5445125" cy="1914576"/>
    <xdr:pic>
      <xdr:nvPicPr>
        <xdr:cNvPr id="3" name="Picture 2">
          <a:extLst>
            <a:ext uri="{FF2B5EF4-FFF2-40B4-BE49-F238E27FC236}">
              <a16:creationId xmlns:a16="http://schemas.microsoft.com/office/drawing/2014/main" id="{BC72259D-FF5E-4A5F-B3CF-F86C511A4A4C}"/>
            </a:ext>
          </a:extLst>
        </xdr:cNvPr>
        <xdr:cNvPicPr>
          <a:picLocks noChangeAspect="1"/>
        </xdr:cNvPicPr>
      </xdr:nvPicPr>
      <xdr:blipFill>
        <a:blip xmlns:r="http://schemas.openxmlformats.org/officeDocument/2006/relationships" r:embed="rId1"/>
        <a:stretch>
          <a:fillRect/>
        </a:stretch>
      </xdr:blipFill>
      <xdr:spPr>
        <a:xfrm>
          <a:off x="17411700" y="495300"/>
          <a:ext cx="5445125" cy="1914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21</xdr:col>
      <xdr:colOff>45720</xdr:colOff>
      <xdr:row>1</xdr:row>
      <xdr:rowOff>85725</xdr:rowOff>
    </xdr:from>
    <xdr:to>
      <xdr:col>31</xdr:col>
      <xdr:colOff>488503</xdr:colOff>
      <xdr:row>17</xdr:row>
      <xdr:rowOff>86640</xdr:rowOff>
    </xdr:to>
    <xdr:pic>
      <xdr:nvPicPr>
        <xdr:cNvPr id="2" name="Picture 1">
          <a:extLst>
            <a:ext uri="{FF2B5EF4-FFF2-40B4-BE49-F238E27FC236}">
              <a16:creationId xmlns:a16="http://schemas.microsoft.com/office/drawing/2014/main" id="{9E5DC2B4-7F72-4615-AFDC-F9B4D250BDB6}"/>
            </a:ext>
          </a:extLst>
        </xdr:cNvPr>
        <xdr:cNvPicPr>
          <a:picLocks noChangeAspect="1"/>
        </xdr:cNvPicPr>
      </xdr:nvPicPr>
      <xdr:blipFill>
        <a:blip xmlns:r="http://schemas.openxmlformats.org/officeDocument/2006/relationships" r:embed="rId1"/>
        <a:stretch>
          <a:fillRect/>
        </a:stretch>
      </xdr:blipFill>
      <xdr:spPr>
        <a:xfrm>
          <a:off x="14961870" y="285750"/>
          <a:ext cx="6538783" cy="3287040"/>
        </a:xfrm>
        <a:prstGeom prst="rect">
          <a:avLst/>
        </a:prstGeom>
      </xdr:spPr>
    </xdr:pic>
    <xdr:clientData/>
  </xdr:twoCellAnchor>
  <xdr:twoCellAnchor editAs="oneCell">
    <xdr:from>
      <xdr:col>12</xdr:col>
      <xdr:colOff>131445</xdr:colOff>
      <xdr:row>0</xdr:row>
      <xdr:rowOff>176205</xdr:rowOff>
    </xdr:from>
    <xdr:to>
      <xdr:col>18</xdr:col>
      <xdr:colOff>421409</xdr:colOff>
      <xdr:row>8</xdr:row>
      <xdr:rowOff>128214</xdr:rowOff>
    </xdr:to>
    <xdr:pic>
      <xdr:nvPicPr>
        <xdr:cNvPr id="3" name="Picture 2">
          <a:extLst>
            <a:ext uri="{FF2B5EF4-FFF2-40B4-BE49-F238E27FC236}">
              <a16:creationId xmlns:a16="http://schemas.microsoft.com/office/drawing/2014/main" id="{BA00B698-92EC-4790-9EA6-5C6A9816AEDC}"/>
            </a:ext>
          </a:extLst>
        </xdr:cNvPr>
        <xdr:cNvPicPr>
          <a:picLocks noChangeAspect="1"/>
        </xdr:cNvPicPr>
      </xdr:nvPicPr>
      <xdr:blipFill>
        <a:blip xmlns:r="http://schemas.openxmlformats.org/officeDocument/2006/relationships" r:embed="rId2"/>
        <a:stretch>
          <a:fillRect/>
        </a:stretch>
      </xdr:blipFill>
      <xdr:spPr>
        <a:xfrm>
          <a:off x="9561195" y="176205"/>
          <a:ext cx="3947564" cy="1637934"/>
        </a:xfrm>
        <a:prstGeom prst="rect">
          <a:avLst/>
        </a:prstGeom>
      </xdr:spPr>
    </xdr:pic>
    <xdr:clientData/>
  </xdr:twoCellAnchor>
  <xdr:oneCellAnchor>
    <xdr:from>
      <xdr:col>12</xdr:col>
      <xdr:colOff>161925</xdr:colOff>
      <xdr:row>12</xdr:row>
      <xdr:rowOff>0</xdr:rowOff>
    </xdr:from>
    <xdr:ext cx="4724809" cy="1661304"/>
    <xdr:pic>
      <xdr:nvPicPr>
        <xdr:cNvPr id="5" name="Picture 4">
          <a:extLst>
            <a:ext uri="{FF2B5EF4-FFF2-40B4-BE49-F238E27FC236}">
              <a16:creationId xmlns:a16="http://schemas.microsoft.com/office/drawing/2014/main" id="{7D313FC0-5329-4487-8952-9429E5B4AA26}"/>
            </a:ext>
          </a:extLst>
        </xdr:cNvPr>
        <xdr:cNvPicPr>
          <a:picLocks noChangeAspect="1"/>
        </xdr:cNvPicPr>
      </xdr:nvPicPr>
      <xdr:blipFill>
        <a:blip xmlns:r="http://schemas.openxmlformats.org/officeDocument/2006/relationships" r:embed="rId3"/>
        <a:stretch>
          <a:fillRect/>
        </a:stretch>
      </xdr:blipFill>
      <xdr:spPr>
        <a:xfrm>
          <a:off x="9591675" y="2486025"/>
          <a:ext cx="4724809" cy="1661304"/>
        </a:xfrm>
        <a:prstGeom prst="rect">
          <a:avLst/>
        </a:prstGeom>
      </xdr:spPr>
    </xdr:pic>
    <xdr:clientData/>
  </xdr:oneCellAnchor>
  <xdr:twoCellAnchor>
    <xdr:from>
      <xdr:col>17</xdr:col>
      <xdr:colOff>200025</xdr:colOff>
      <xdr:row>11</xdr:row>
      <xdr:rowOff>104775</xdr:rowOff>
    </xdr:from>
    <xdr:to>
      <xdr:col>18</xdr:col>
      <xdr:colOff>466725</xdr:colOff>
      <xdr:row>20</xdr:row>
      <xdr:rowOff>104775</xdr:rowOff>
    </xdr:to>
    <xdr:sp macro="" textlink="">
      <xdr:nvSpPr>
        <xdr:cNvPr id="6" name="Rectangle 5">
          <a:extLst>
            <a:ext uri="{FF2B5EF4-FFF2-40B4-BE49-F238E27FC236}">
              <a16:creationId xmlns:a16="http://schemas.microsoft.com/office/drawing/2014/main" id="{3D97FDA0-0A03-408D-A4B0-209D3604DC53}"/>
            </a:ext>
          </a:extLst>
        </xdr:cNvPr>
        <xdr:cNvSpPr/>
      </xdr:nvSpPr>
      <xdr:spPr>
        <a:xfrm>
          <a:off x="12677775" y="2390775"/>
          <a:ext cx="876300" cy="1790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28575</xdr:colOff>
      <xdr:row>2</xdr:row>
      <xdr:rowOff>57150</xdr:rowOff>
    </xdr:from>
    <xdr:to>
      <xdr:col>8</xdr:col>
      <xdr:colOff>1285875</xdr:colOff>
      <xdr:row>7</xdr:row>
      <xdr:rowOff>47625</xdr:rowOff>
    </xdr:to>
    <xdr:sp macro="" textlink="">
      <xdr:nvSpPr>
        <xdr:cNvPr id="7" name="Rectangle 6">
          <a:extLst>
            <a:ext uri="{FF2B5EF4-FFF2-40B4-BE49-F238E27FC236}">
              <a16:creationId xmlns:a16="http://schemas.microsoft.com/office/drawing/2014/main" id="{C9F7B122-4FE3-4BD4-AB9C-038B12B30C72}"/>
            </a:ext>
          </a:extLst>
        </xdr:cNvPr>
        <xdr:cNvSpPr/>
      </xdr:nvSpPr>
      <xdr:spPr>
        <a:xfrm>
          <a:off x="6515100" y="485775"/>
          <a:ext cx="1257300" cy="10477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19</xdr:col>
      <xdr:colOff>541020</xdr:colOff>
      <xdr:row>1</xdr:row>
      <xdr:rowOff>0</xdr:rowOff>
    </xdr:from>
    <xdr:ext cx="6538783" cy="3285135"/>
    <xdr:pic>
      <xdr:nvPicPr>
        <xdr:cNvPr id="2" name="Picture 1">
          <a:extLst>
            <a:ext uri="{FF2B5EF4-FFF2-40B4-BE49-F238E27FC236}">
              <a16:creationId xmlns:a16="http://schemas.microsoft.com/office/drawing/2014/main" id="{5997CA35-E56B-4176-AE2D-11C81C1DD47A}"/>
            </a:ext>
          </a:extLst>
        </xdr:cNvPr>
        <xdr:cNvPicPr>
          <a:picLocks noChangeAspect="1"/>
        </xdr:cNvPicPr>
      </xdr:nvPicPr>
      <xdr:blipFill>
        <a:blip xmlns:r="http://schemas.openxmlformats.org/officeDocument/2006/relationships" r:embed="rId1"/>
        <a:stretch>
          <a:fillRect/>
        </a:stretch>
      </xdr:blipFill>
      <xdr:spPr>
        <a:xfrm>
          <a:off x="12123420" y="182880"/>
          <a:ext cx="6538783" cy="3285135"/>
        </a:xfrm>
        <a:prstGeom prst="rect">
          <a:avLst/>
        </a:prstGeom>
      </xdr:spPr>
    </xdr:pic>
    <xdr:clientData/>
  </xdr:oneCellAnchor>
  <xdr:oneCellAnchor>
    <xdr:from>
      <xdr:col>11</xdr:col>
      <xdr:colOff>7620</xdr:colOff>
      <xdr:row>1</xdr:row>
      <xdr:rowOff>109530</xdr:rowOff>
    </xdr:from>
    <xdr:ext cx="3947564" cy="1651269"/>
    <xdr:pic>
      <xdr:nvPicPr>
        <xdr:cNvPr id="3" name="Picture 2">
          <a:extLst>
            <a:ext uri="{FF2B5EF4-FFF2-40B4-BE49-F238E27FC236}">
              <a16:creationId xmlns:a16="http://schemas.microsoft.com/office/drawing/2014/main" id="{72C5D0E3-7090-4AC9-82AA-59601A5FA435}"/>
            </a:ext>
          </a:extLst>
        </xdr:cNvPr>
        <xdr:cNvPicPr>
          <a:picLocks noChangeAspect="1"/>
        </xdr:cNvPicPr>
      </xdr:nvPicPr>
      <xdr:blipFill>
        <a:blip xmlns:r="http://schemas.openxmlformats.org/officeDocument/2006/relationships" r:embed="rId2"/>
        <a:stretch>
          <a:fillRect/>
        </a:stretch>
      </xdr:blipFill>
      <xdr:spPr>
        <a:xfrm>
          <a:off x="6713220" y="292410"/>
          <a:ext cx="3947564" cy="1651269"/>
        </a:xfrm>
        <a:prstGeom prst="rect">
          <a:avLst/>
        </a:prstGeom>
      </xdr:spPr>
    </xdr:pic>
    <xdr:clientData/>
  </xdr:oneCellAnchor>
  <xdr:oneCellAnchor>
    <xdr:from>
      <xdr:col>11</xdr:col>
      <xdr:colOff>342900</xdr:colOff>
      <xdr:row>11</xdr:row>
      <xdr:rowOff>38100</xdr:rowOff>
    </xdr:from>
    <xdr:ext cx="4724809" cy="1661304"/>
    <xdr:pic>
      <xdr:nvPicPr>
        <xdr:cNvPr id="4" name="Picture 3">
          <a:extLst>
            <a:ext uri="{FF2B5EF4-FFF2-40B4-BE49-F238E27FC236}">
              <a16:creationId xmlns:a16="http://schemas.microsoft.com/office/drawing/2014/main" id="{89F98515-FB76-4E93-9561-13E82D0E2F7F}"/>
            </a:ext>
          </a:extLst>
        </xdr:cNvPr>
        <xdr:cNvPicPr>
          <a:picLocks noChangeAspect="1"/>
        </xdr:cNvPicPr>
      </xdr:nvPicPr>
      <xdr:blipFill>
        <a:blip xmlns:r="http://schemas.openxmlformats.org/officeDocument/2006/relationships" r:embed="rId3"/>
        <a:stretch>
          <a:fillRect/>
        </a:stretch>
      </xdr:blipFill>
      <xdr:spPr>
        <a:xfrm>
          <a:off x="7048500" y="2049780"/>
          <a:ext cx="4724809" cy="1661304"/>
        </a:xfrm>
        <a:prstGeom prst="rect">
          <a:avLst/>
        </a:prstGeom>
      </xdr:spPr>
    </xdr:pic>
    <xdr:clientData/>
  </xdr:oneCellAnchor>
  <xdr:twoCellAnchor>
    <xdr:from>
      <xdr:col>15</xdr:col>
      <xdr:colOff>142875</xdr:colOff>
      <xdr:row>10</xdr:row>
      <xdr:rowOff>133350</xdr:rowOff>
    </xdr:from>
    <xdr:to>
      <xdr:col>16</xdr:col>
      <xdr:colOff>409575</xdr:colOff>
      <xdr:row>19</xdr:row>
      <xdr:rowOff>161925</xdr:rowOff>
    </xdr:to>
    <xdr:sp macro="" textlink="">
      <xdr:nvSpPr>
        <xdr:cNvPr id="5" name="Rectangle 4">
          <a:extLst>
            <a:ext uri="{FF2B5EF4-FFF2-40B4-BE49-F238E27FC236}">
              <a16:creationId xmlns:a16="http://schemas.microsoft.com/office/drawing/2014/main" id="{91BBEF31-15BD-EB8D-2256-0510B72DA517}"/>
            </a:ext>
          </a:extLst>
        </xdr:cNvPr>
        <xdr:cNvSpPr/>
      </xdr:nvSpPr>
      <xdr:spPr>
        <a:xfrm>
          <a:off x="11401425" y="2219325"/>
          <a:ext cx="876300" cy="1819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19050</xdr:colOff>
      <xdr:row>2</xdr:row>
      <xdr:rowOff>66675</xdr:rowOff>
    </xdr:from>
    <xdr:to>
      <xdr:col>8</xdr:col>
      <xdr:colOff>1276350</xdr:colOff>
      <xdr:row>6</xdr:row>
      <xdr:rowOff>180975</xdr:rowOff>
    </xdr:to>
    <xdr:sp macro="" textlink="">
      <xdr:nvSpPr>
        <xdr:cNvPr id="6" name="Rectangle 5">
          <a:extLst>
            <a:ext uri="{FF2B5EF4-FFF2-40B4-BE49-F238E27FC236}">
              <a16:creationId xmlns:a16="http://schemas.microsoft.com/office/drawing/2014/main" id="{A9E2A69B-D796-48D7-AFF5-EA68476200AC}"/>
            </a:ext>
          </a:extLst>
        </xdr:cNvPr>
        <xdr:cNvSpPr/>
      </xdr:nvSpPr>
      <xdr:spPr>
        <a:xfrm>
          <a:off x="6505575" y="495300"/>
          <a:ext cx="1257300" cy="9715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36"/>
  <sheetViews>
    <sheetView showGridLines="0" zoomScaleNormal="100" workbookViewId="0">
      <selection activeCell="V11" sqref="V11"/>
    </sheetView>
  </sheetViews>
  <sheetFormatPr defaultRowHeight="15" x14ac:dyDescent="0.25"/>
  <cols>
    <col min="1" max="1" width="4.5703125" customWidth="1"/>
  </cols>
  <sheetData>
    <row r="2" spans="1:18" ht="23.25" x14ac:dyDescent="0.35">
      <c r="B2" s="21" t="s">
        <v>27</v>
      </c>
      <c r="M2" s="39" t="s">
        <v>53</v>
      </c>
      <c r="N2" s="40"/>
      <c r="O2" s="40"/>
      <c r="P2" s="40"/>
      <c r="Q2" s="40"/>
      <c r="R2" s="40"/>
    </row>
    <row r="3" spans="1:18" ht="15.2" customHeight="1" x14ac:dyDescent="0.25">
      <c r="M3" s="40"/>
      <c r="N3" s="40"/>
      <c r="O3" s="40"/>
      <c r="P3" s="40"/>
      <c r="Q3" s="40"/>
      <c r="R3" s="40"/>
    </row>
    <row r="4" spans="1:18" ht="15.2" customHeight="1" x14ac:dyDescent="0.25">
      <c r="B4" s="96" t="s">
        <v>44</v>
      </c>
      <c r="C4" s="96"/>
      <c r="D4" s="96"/>
      <c r="E4" s="96"/>
      <c r="F4" s="96"/>
      <c r="G4" s="96"/>
      <c r="H4" s="96"/>
      <c r="I4" s="96"/>
      <c r="J4" s="96"/>
      <c r="K4" s="96"/>
      <c r="L4" s="26"/>
      <c r="M4" s="41"/>
      <c r="N4" s="40"/>
      <c r="O4" s="40"/>
      <c r="P4" s="40"/>
      <c r="Q4" s="40"/>
      <c r="R4" s="40"/>
    </row>
    <row r="5" spans="1:18" ht="15.95" customHeight="1" x14ac:dyDescent="0.25">
      <c r="B5" s="96"/>
      <c r="C5" s="96"/>
      <c r="D5" s="96"/>
      <c r="E5" s="96"/>
      <c r="F5" s="96"/>
      <c r="G5" s="96"/>
      <c r="H5" s="96"/>
      <c r="I5" s="96"/>
      <c r="J5" s="96"/>
      <c r="K5" s="96"/>
      <c r="L5" s="26"/>
      <c r="M5" s="41"/>
      <c r="N5" s="40"/>
      <c r="O5" s="40"/>
      <c r="P5" s="40"/>
      <c r="Q5" s="40"/>
      <c r="R5" s="40"/>
    </row>
    <row r="6" spans="1:18" ht="15.95" customHeight="1" x14ac:dyDescent="0.25">
      <c r="B6" s="26"/>
      <c r="C6" s="26"/>
      <c r="D6" s="26"/>
      <c r="E6" s="26"/>
      <c r="F6" s="26"/>
      <c r="G6" s="26"/>
      <c r="H6" s="26"/>
      <c r="I6" s="26"/>
      <c r="J6" s="26"/>
      <c r="K6" s="26"/>
      <c r="L6" s="26"/>
      <c r="M6" s="41"/>
      <c r="N6" s="40"/>
      <c r="O6" s="40"/>
      <c r="P6" s="40"/>
      <c r="Q6" s="40"/>
      <c r="R6" s="40"/>
    </row>
    <row r="7" spans="1:18" ht="15.75" x14ac:dyDescent="0.25">
      <c r="A7" s="24">
        <v>1</v>
      </c>
      <c r="B7" s="8" t="s">
        <v>28</v>
      </c>
      <c r="C7" s="8"/>
      <c r="D7" s="8"/>
      <c r="E7" s="8"/>
      <c r="F7" s="8"/>
      <c r="G7" s="8"/>
      <c r="H7" s="8"/>
      <c r="I7" s="8"/>
      <c r="M7" s="40" t="s">
        <v>60</v>
      </c>
      <c r="N7" s="40"/>
      <c r="O7" s="40"/>
      <c r="P7" s="40"/>
      <c r="Q7" s="40"/>
      <c r="R7" s="40"/>
    </row>
    <row r="8" spans="1:18" ht="15.75" x14ac:dyDescent="0.25">
      <c r="A8" s="24"/>
      <c r="B8" s="8" t="s">
        <v>66</v>
      </c>
      <c r="C8" s="8"/>
      <c r="D8" s="8"/>
      <c r="E8" s="8"/>
      <c r="F8" s="8"/>
      <c r="G8" s="8"/>
      <c r="H8" s="8"/>
      <c r="I8" s="8"/>
      <c r="M8" s="40"/>
      <c r="N8" s="40"/>
      <c r="O8" s="40"/>
      <c r="P8" s="40"/>
      <c r="Q8" s="40"/>
      <c r="R8" s="40"/>
    </row>
    <row r="9" spans="1:18" ht="15.75" x14ac:dyDescent="0.25">
      <c r="A9" s="24"/>
      <c r="B9" s="8"/>
      <c r="C9" s="8"/>
      <c r="D9" s="8"/>
      <c r="E9" s="8"/>
      <c r="F9" s="8"/>
      <c r="G9" s="8"/>
      <c r="H9" s="8"/>
      <c r="I9" s="8"/>
      <c r="M9" s="40"/>
      <c r="N9" s="40"/>
      <c r="O9" s="40"/>
      <c r="P9" s="40"/>
      <c r="Q9" s="40"/>
      <c r="R9" s="40"/>
    </row>
    <row r="10" spans="1:18" ht="15.75" x14ac:dyDescent="0.25">
      <c r="A10" s="24">
        <v>2</v>
      </c>
      <c r="B10" s="25" t="s">
        <v>29</v>
      </c>
      <c r="C10" s="8"/>
      <c r="D10" s="8"/>
      <c r="E10" s="8"/>
      <c r="F10" s="8"/>
      <c r="G10" s="8"/>
      <c r="H10" s="8"/>
      <c r="I10" s="8"/>
      <c r="M10" s="40" t="s">
        <v>59</v>
      </c>
      <c r="N10" s="40"/>
      <c r="O10" s="40"/>
      <c r="P10" s="40"/>
      <c r="Q10" s="40"/>
      <c r="R10" s="40"/>
    </row>
    <row r="11" spans="1:18" ht="15.75" x14ac:dyDescent="0.25">
      <c r="A11" s="24"/>
      <c r="B11" s="25"/>
      <c r="C11" s="8"/>
      <c r="D11" s="8"/>
      <c r="E11" s="8"/>
      <c r="F11" s="8"/>
      <c r="G11" s="8"/>
      <c r="H11" s="8"/>
      <c r="I11" s="8"/>
      <c r="M11" s="40"/>
      <c r="N11" s="40"/>
      <c r="O11" s="40"/>
      <c r="P11" s="40"/>
      <c r="Q11" s="40"/>
      <c r="R11" s="40"/>
    </row>
    <row r="12" spans="1:18" ht="15.75" x14ac:dyDescent="0.25">
      <c r="A12" s="22">
        <v>3</v>
      </c>
      <c r="B12" s="25" t="s">
        <v>36</v>
      </c>
      <c r="C12" s="8"/>
      <c r="D12" s="8"/>
      <c r="E12" s="8"/>
      <c r="F12" s="8"/>
      <c r="G12" s="8"/>
      <c r="H12" s="8"/>
      <c r="I12" s="8"/>
      <c r="M12" s="40" t="s">
        <v>54</v>
      </c>
      <c r="N12" s="40"/>
      <c r="O12" s="40"/>
      <c r="P12" s="40"/>
      <c r="Q12" s="40"/>
      <c r="R12" s="40"/>
    </row>
    <row r="13" spans="1:18" ht="15.75" x14ac:dyDescent="0.25">
      <c r="A13" s="22"/>
      <c r="B13" s="25"/>
      <c r="C13" s="8"/>
      <c r="D13" s="8"/>
      <c r="E13" s="8"/>
      <c r="F13" s="8"/>
      <c r="G13" s="8"/>
      <c r="H13" s="8"/>
      <c r="I13" s="8"/>
      <c r="M13" s="40" t="s">
        <v>55</v>
      </c>
      <c r="N13" s="40"/>
      <c r="O13" s="40"/>
      <c r="P13" s="40"/>
      <c r="Q13" s="40"/>
      <c r="R13" s="40"/>
    </row>
    <row r="14" spans="1:18" ht="15.75" x14ac:dyDescent="0.25">
      <c r="A14" s="22"/>
      <c r="B14" s="25"/>
      <c r="C14" s="8"/>
      <c r="D14" s="8"/>
      <c r="E14" s="8"/>
      <c r="F14" s="8"/>
      <c r="G14" s="8"/>
      <c r="H14" s="8"/>
      <c r="I14" s="8"/>
      <c r="M14" s="40"/>
      <c r="N14" s="40"/>
      <c r="O14" s="40"/>
      <c r="P14" s="40"/>
      <c r="Q14" s="40"/>
      <c r="R14" s="40"/>
    </row>
    <row r="15" spans="1:18" ht="15.75" x14ac:dyDescent="0.25">
      <c r="A15" s="22">
        <v>4</v>
      </c>
      <c r="B15" s="25" t="s">
        <v>38</v>
      </c>
      <c r="C15" s="8"/>
      <c r="D15" s="8"/>
      <c r="E15" s="8"/>
      <c r="F15" s="8"/>
      <c r="G15" s="8"/>
      <c r="H15" s="8"/>
      <c r="I15" s="8"/>
      <c r="M15" s="40" t="s">
        <v>58</v>
      </c>
      <c r="N15" s="40"/>
      <c r="O15" s="40"/>
      <c r="P15" s="40"/>
      <c r="Q15" s="40"/>
      <c r="R15" s="40"/>
    </row>
    <row r="16" spans="1:18" ht="15.75" x14ac:dyDescent="0.25">
      <c r="A16" s="22"/>
      <c r="B16" s="25" t="s">
        <v>37</v>
      </c>
      <c r="C16" s="8"/>
      <c r="D16" s="8"/>
      <c r="E16" s="8"/>
      <c r="F16" s="8"/>
      <c r="G16" s="8"/>
      <c r="H16" s="8"/>
      <c r="I16" s="8"/>
      <c r="M16" s="40"/>
      <c r="N16" s="40"/>
      <c r="O16" s="40"/>
      <c r="P16" s="40"/>
      <c r="Q16" s="40"/>
      <c r="R16" s="40"/>
    </row>
    <row r="17" spans="1:18" ht="15.75" x14ac:dyDescent="0.25">
      <c r="A17" s="25"/>
      <c r="B17" s="25" t="s">
        <v>39</v>
      </c>
      <c r="C17" s="8"/>
      <c r="D17" s="8"/>
      <c r="E17" s="8"/>
      <c r="F17" s="8"/>
      <c r="G17" s="8"/>
      <c r="H17" s="8"/>
      <c r="I17" s="8"/>
      <c r="M17" s="40"/>
      <c r="N17" s="40"/>
      <c r="O17" s="40"/>
      <c r="P17" s="40"/>
      <c r="Q17" s="40"/>
      <c r="R17" s="40"/>
    </row>
    <row r="18" spans="1:18" ht="15.75" x14ac:dyDescent="0.25">
      <c r="A18" s="25"/>
      <c r="B18" s="25" t="s">
        <v>40</v>
      </c>
      <c r="C18" s="8"/>
      <c r="D18" s="8"/>
      <c r="E18" s="8"/>
      <c r="F18" s="8"/>
      <c r="G18" s="8"/>
      <c r="H18" s="8"/>
      <c r="I18" s="8"/>
      <c r="M18" s="40"/>
      <c r="N18" s="40"/>
      <c r="O18" s="40"/>
      <c r="P18" s="40"/>
      <c r="Q18" s="40"/>
      <c r="R18" s="40"/>
    </row>
    <row r="19" spans="1:18" ht="15.75" x14ac:dyDescent="0.25">
      <c r="A19" s="25"/>
      <c r="B19" s="25" t="s">
        <v>67</v>
      </c>
      <c r="C19" s="8"/>
      <c r="D19" s="8"/>
      <c r="E19" s="8"/>
      <c r="F19" s="8"/>
      <c r="G19" s="8"/>
      <c r="H19" s="8"/>
      <c r="I19" s="8"/>
      <c r="M19" s="40"/>
      <c r="N19" s="40"/>
      <c r="O19" s="40"/>
      <c r="P19" s="40"/>
      <c r="Q19" s="40"/>
      <c r="R19" s="40"/>
    </row>
    <row r="20" spans="1:18" ht="15.75" x14ac:dyDescent="0.25">
      <c r="A20" s="25"/>
      <c r="B20" s="25"/>
      <c r="C20" s="8"/>
      <c r="D20" s="8"/>
      <c r="E20" s="8"/>
      <c r="F20" s="8"/>
      <c r="G20" s="8"/>
      <c r="H20" s="8"/>
      <c r="I20" s="8"/>
      <c r="M20" s="40"/>
      <c r="N20" s="40"/>
      <c r="O20" s="40"/>
      <c r="P20" s="40"/>
      <c r="Q20" s="40"/>
      <c r="R20" s="40"/>
    </row>
    <row r="21" spans="1:18" ht="15.95" customHeight="1" x14ac:dyDescent="0.25">
      <c r="A21" s="22">
        <v>5</v>
      </c>
      <c r="B21" s="23" t="s">
        <v>68</v>
      </c>
      <c r="C21" s="23"/>
      <c r="D21" s="23"/>
      <c r="E21" s="23"/>
      <c r="F21" s="23"/>
      <c r="G21" s="23"/>
      <c r="H21" s="23"/>
      <c r="I21" s="23"/>
      <c r="J21" s="23"/>
      <c r="K21" s="23"/>
      <c r="L21" s="23"/>
      <c r="M21" s="40" t="s">
        <v>57</v>
      </c>
      <c r="N21" s="40"/>
      <c r="O21" s="40"/>
      <c r="P21" s="40"/>
      <c r="Q21" s="40"/>
      <c r="R21" s="40"/>
    </row>
    <row r="22" spans="1:18" ht="15.6" customHeight="1" x14ac:dyDescent="0.25">
      <c r="A22" s="8"/>
      <c r="B22" s="97" t="s">
        <v>30</v>
      </c>
      <c r="C22" s="97"/>
      <c r="D22" s="97"/>
      <c r="E22" s="97"/>
      <c r="F22" s="97"/>
      <c r="G22" s="97"/>
      <c r="H22" s="97"/>
      <c r="I22" s="97"/>
      <c r="J22" s="97"/>
      <c r="K22" s="97"/>
      <c r="L22" s="33"/>
      <c r="M22" s="40"/>
      <c r="N22" s="40"/>
      <c r="O22" s="40"/>
      <c r="P22" s="40"/>
      <c r="Q22" s="40"/>
      <c r="R22" s="40"/>
    </row>
    <row r="23" spans="1:18" ht="15.75" x14ac:dyDescent="0.25">
      <c r="A23" s="8"/>
      <c r="B23" s="97"/>
      <c r="C23" s="97"/>
      <c r="D23" s="97"/>
      <c r="E23" s="97"/>
      <c r="F23" s="97"/>
      <c r="G23" s="97"/>
      <c r="H23" s="97"/>
      <c r="I23" s="97"/>
      <c r="J23" s="97"/>
      <c r="K23" s="97"/>
      <c r="L23" s="33"/>
      <c r="M23" s="40"/>
      <c r="N23" s="40"/>
      <c r="O23" s="40"/>
      <c r="P23" s="40"/>
      <c r="Q23" s="40"/>
      <c r="R23" s="40"/>
    </row>
    <row r="24" spans="1:18" ht="15.75" x14ac:dyDescent="0.25">
      <c r="A24" s="8"/>
      <c r="B24" s="93" t="s">
        <v>45</v>
      </c>
      <c r="C24" s="93"/>
      <c r="D24" s="93"/>
      <c r="E24" s="93"/>
      <c r="F24" s="93"/>
      <c r="G24" s="93"/>
      <c r="H24" s="93"/>
      <c r="I24" s="93"/>
      <c r="J24" s="93"/>
      <c r="K24" s="93"/>
      <c r="M24" s="40"/>
      <c r="N24" s="40"/>
      <c r="O24" s="40"/>
      <c r="P24" s="40"/>
      <c r="Q24" s="40"/>
      <c r="R24" s="40"/>
    </row>
    <row r="25" spans="1:18" ht="15.75" x14ac:dyDescent="0.25">
      <c r="A25" s="8"/>
      <c r="B25" s="93"/>
      <c r="C25" s="93"/>
      <c r="D25" s="93"/>
      <c r="E25" s="93"/>
      <c r="F25" s="93"/>
      <c r="G25" s="93"/>
      <c r="H25" s="93"/>
      <c r="I25" s="93"/>
      <c r="J25" s="93"/>
      <c r="K25" s="93"/>
      <c r="M25" s="40"/>
      <c r="N25" s="40"/>
      <c r="O25" s="40"/>
      <c r="P25" s="40"/>
      <c r="Q25" s="40"/>
      <c r="R25" s="40"/>
    </row>
    <row r="26" spans="1:18" ht="15.75" x14ac:dyDescent="0.25">
      <c r="A26" s="8"/>
      <c r="B26" s="32"/>
      <c r="C26" s="8"/>
      <c r="D26" s="8"/>
      <c r="E26" s="8"/>
      <c r="F26" s="8"/>
      <c r="G26" s="8"/>
      <c r="H26" s="8"/>
      <c r="I26" s="8"/>
      <c r="M26" s="40"/>
      <c r="N26" s="40"/>
      <c r="O26" s="40"/>
      <c r="P26" s="40"/>
      <c r="Q26" s="40"/>
      <c r="R26" s="40"/>
    </row>
    <row r="27" spans="1:18" ht="15.75" x14ac:dyDescent="0.25">
      <c r="A27" s="8"/>
      <c r="B27" s="8"/>
      <c r="C27" s="8"/>
      <c r="D27" s="8"/>
      <c r="E27" s="8"/>
      <c r="F27" s="8"/>
      <c r="G27" s="8"/>
      <c r="H27" s="8"/>
      <c r="I27" s="8"/>
      <c r="M27" s="40"/>
      <c r="N27" s="40"/>
      <c r="O27" s="40"/>
      <c r="P27" s="40"/>
      <c r="Q27" s="40"/>
      <c r="R27" s="40"/>
    </row>
    <row r="28" spans="1:18" ht="15.75" x14ac:dyDescent="0.25">
      <c r="A28" s="8">
        <v>6</v>
      </c>
      <c r="B28" s="8" t="s">
        <v>41</v>
      </c>
      <c r="C28" s="8"/>
      <c r="D28" s="8"/>
      <c r="E28" s="8"/>
      <c r="F28" s="8"/>
      <c r="G28" s="8"/>
      <c r="H28" s="8"/>
      <c r="I28" s="8"/>
      <c r="M28" s="40" t="s">
        <v>56</v>
      </c>
      <c r="N28" s="40"/>
      <c r="O28" s="40"/>
      <c r="P28" s="40"/>
      <c r="Q28" s="40"/>
      <c r="R28" s="40"/>
    </row>
    <row r="29" spans="1:18" ht="15.75" x14ac:dyDescent="0.25">
      <c r="D29" s="8"/>
      <c r="E29" s="8"/>
      <c r="F29" s="8"/>
      <c r="G29" s="8"/>
      <c r="H29" s="8"/>
      <c r="I29" s="8"/>
      <c r="M29" s="40"/>
      <c r="N29" s="40"/>
      <c r="O29" s="40"/>
      <c r="P29" s="40"/>
      <c r="Q29" s="40"/>
      <c r="R29" s="40"/>
    </row>
    <row r="30" spans="1:18" ht="15.6" customHeight="1" x14ac:dyDescent="0.25">
      <c r="A30" s="24" t="s">
        <v>42</v>
      </c>
      <c r="B30" s="94" t="s">
        <v>46</v>
      </c>
      <c r="C30" s="94"/>
      <c r="D30" s="94"/>
      <c r="E30" s="94"/>
      <c r="F30" s="94"/>
      <c r="G30" s="94"/>
      <c r="H30" s="94"/>
      <c r="I30" s="94"/>
      <c r="J30" s="94"/>
      <c r="K30" s="94"/>
      <c r="M30" s="95" t="s">
        <v>64</v>
      </c>
      <c r="N30" s="95"/>
      <c r="O30" s="95"/>
      <c r="P30" s="95"/>
      <c r="Q30" s="95"/>
      <c r="R30" s="95"/>
    </row>
    <row r="31" spans="1:18" ht="15.75" x14ac:dyDescent="0.25">
      <c r="A31" s="25"/>
      <c r="B31" s="94"/>
      <c r="C31" s="94"/>
      <c r="D31" s="94"/>
      <c r="E31" s="94"/>
      <c r="F31" s="94"/>
      <c r="G31" s="94"/>
      <c r="H31" s="94"/>
      <c r="I31" s="94"/>
      <c r="J31" s="94"/>
      <c r="K31" s="94"/>
      <c r="M31" s="95"/>
      <c r="N31" s="95"/>
      <c r="O31" s="95"/>
      <c r="P31" s="95"/>
      <c r="Q31" s="95"/>
      <c r="R31" s="95"/>
    </row>
    <row r="32" spans="1:18" x14ac:dyDescent="0.25">
      <c r="M32" s="95"/>
      <c r="N32" s="95"/>
      <c r="O32" s="95"/>
      <c r="P32" s="95"/>
      <c r="Q32" s="95"/>
      <c r="R32" s="95"/>
    </row>
    <row r="33" spans="1:18" x14ac:dyDescent="0.25">
      <c r="M33" s="42"/>
      <c r="N33" s="42"/>
      <c r="O33" s="42"/>
      <c r="P33" s="42"/>
      <c r="Q33" s="42"/>
      <c r="R33" s="42"/>
    </row>
    <row r="34" spans="1:18" ht="15.6" customHeight="1" x14ac:dyDescent="0.25">
      <c r="A34" s="24" t="s">
        <v>43</v>
      </c>
      <c r="B34" s="8" t="s">
        <v>47</v>
      </c>
      <c r="M34" s="95" t="s">
        <v>65</v>
      </c>
      <c r="N34" s="95"/>
      <c r="O34" s="95"/>
      <c r="P34" s="95"/>
      <c r="Q34" s="95"/>
      <c r="R34" s="95"/>
    </row>
    <row r="35" spans="1:18" ht="14.65" customHeight="1" x14ac:dyDescent="0.25">
      <c r="M35" s="95"/>
      <c r="N35" s="95"/>
      <c r="O35" s="95"/>
      <c r="P35" s="95"/>
      <c r="Q35" s="95"/>
      <c r="R35" s="95"/>
    </row>
    <row r="36" spans="1:18" x14ac:dyDescent="0.25">
      <c r="M36" s="95"/>
      <c r="N36" s="95"/>
      <c r="O36" s="95"/>
      <c r="P36" s="95"/>
      <c r="Q36" s="95"/>
      <c r="R36" s="95"/>
    </row>
  </sheetData>
  <mergeCells count="6">
    <mergeCell ref="B24:K25"/>
    <mergeCell ref="B30:K31"/>
    <mergeCell ref="M30:R32"/>
    <mergeCell ref="M34:R36"/>
    <mergeCell ref="B4:K5"/>
    <mergeCell ref="B22:K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21"/>
  <sheetViews>
    <sheetView showGridLines="0" zoomScaleNormal="100" workbookViewId="0">
      <selection activeCell="AF18" sqref="AF18"/>
    </sheetView>
  </sheetViews>
  <sheetFormatPr defaultColWidth="9.140625" defaultRowHeight="15.75" x14ac:dyDescent="0.25"/>
  <cols>
    <col min="1" max="1" width="4.5703125" style="8" customWidth="1"/>
    <col min="2" max="2" width="9.140625" style="8"/>
    <col min="3" max="3" width="5.85546875" style="8" customWidth="1"/>
    <col min="4" max="16384" width="9.140625" style="8"/>
  </cols>
  <sheetData>
    <row r="1" spans="2:8" ht="18.75" x14ac:dyDescent="0.3">
      <c r="B1" s="3"/>
      <c r="C1" s="3"/>
      <c r="D1" s="3"/>
      <c r="E1" s="3"/>
      <c r="F1" s="3"/>
      <c r="G1" s="3"/>
      <c r="H1" s="3"/>
    </row>
    <row r="2" spans="2:8" ht="18.75" x14ac:dyDescent="0.3">
      <c r="B2" s="2" t="s">
        <v>9</v>
      </c>
      <c r="C2" s="3"/>
      <c r="D2" s="44" t="s">
        <v>0</v>
      </c>
      <c r="E2" s="3"/>
      <c r="F2" s="3"/>
      <c r="G2" s="3"/>
      <c r="H2" s="3"/>
    </row>
    <row r="3" spans="2:8" ht="18.75" x14ac:dyDescent="0.3">
      <c r="B3" s="3"/>
      <c r="C3" s="3"/>
      <c r="D3" s="3"/>
      <c r="E3" s="3"/>
      <c r="F3" s="3"/>
      <c r="G3" s="3"/>
      <c r="H3" s="3"/>
    </row>
    <row r="4" spans="2:8" ht="18.75" x14ac:dyDescent="0.3">
      <c r="B4" s="3"/>
      <c r="C4" s="3"/>
      <c r="D4" s="3"/>
      <c r="E4" s="3"/>
      <c r="F4" s="3"/>
      <c r="G4" s="3"/>
      <c r="H4" s="3"/>
    </row>
    <row r="5" spans="2:8" ht="18.75" x14ac:dyDescent="0.3">
      <c r="B5" s="2" t="s">
        <v>10</v>
      </c>
      <c r="C5" s="3"/>
      <c r="D5" s="2" t="s">
        <v>11</v>
      </c>
      <c r="E5" s="3"/>
      <c r="F5" s="3"/>
      <c r="G5" s="3"/>
      <c r="H5" s="3"/>
    </row>
    <row r="6" spans="2:8" ht="18.75" x14ac:dyDescent="0.3">
      <c r="B6" s="3"/>
      <c r="C6" s="3"/>
      <c r="D6" s="45" t="s">
        <v>12</v>
      </c>
      <c r="E6" s="45"/>
      <c r="F6" s="45"/>
      <c r="G6" s="3"/>
      <c r="H6" s="3"/>
    </row>
    <row r="7" spans="2:8" ht="18.75" x14ac:dyDescent="0.3">
      <c r="B7" s="3"/>
      <c r="C7" s="3"/>
      <c r="D7" s="3"/>
      <c r="E7" s="3"/>
      <c r="F7" s="3"/>
      <c r="G7" s="3"/>
      <c r="H7" s="3"/>
    </row>
    <row r="8" spans="2:8" ht="18.75" x14ac:dyDescent="0.3">
      <c r="B8" s="3"/>
      <c r="C8" s="3"/>
      <c r="D8" s="2" t="s">
        <v>13</v>
      </c>
      <c r="E8" s="3"/>
      <c r="F8" s="3"/>
      <c r="G8" s="3"/>
      <c r="H8" s="3"/>
    </row>
    <row r="9" spans="2:8" ht="18.75" x14ac:dyDescent="0.3">
      <c r="B9" s="3"/>
      <c r="C9" s="3"/>
      <c r="D9" s="46" t="s">
        <v>14</v>
      </c>
      <c r="E9" s="47"/>
      <c r="F9" s="47"/>
      <c r="G9" s="3"/>
      <c r="H9" s="3"/>
    </row>
    <row r="10" spans="2:8" ht="18.75" x14ac:dyDescent="0.3">
      <c r="B10" s="3"/>
      <c r="C10" s="3"/>
      <c r="D10" s="46" t="s">
        <v>15</v>
      </c>
      <c r="E10" s="47"/>
      <c r="F10" s="47"/>
      <c r="G10" s="3"/>
      <c r="H10" s="3"/>
    </row>
    <row r="11" spans="2:8" ht="18.75" x14ac:dyDescent="0.3">
      <c r="B11" s="3"/>
      <c r="C11" s="3"/>
      <c r="D11" s="46" t="s">
        <v>6</v>
      </c>
      <c r="E11" s="47"/>
      <c r="F11" s="47"/>
      <c r="G11" s="3"/>
      <c r="H11" s="3"/>
    </row>
    <row r="12" spans="2:8" ht="18.75" x14ac:dyDescent="0.3">
      <c r="B12" s="3"/>
      <c r="C12" s="3"/>
      <c r="D12" s="3"/>
      <c r="E12" s="3"/>
      <c r="F12" s="3"/>
      <c r="G12" s="3"/>
      <c r="H12" s="3"/>
    </row>
    <row r="13" spans="2:8" ht="18.75" x14ac:dyDescent="0.3">
      <c r="B13" s="3"/>
      <c r="C13" s="3"/>
      <c r="D13" s="2" t="s">
        <v>8</v>
      </c>
      <c r="E13" s="3"/>
      <c r="F13" s="3"/>
      <c r="G13" s="3"/>
      <c r="H13" s="3"/>
    </row>
    <row r="14" spans="2:8" ht="18.75" x14ac:dyDescent="0.3">
      <c r="B14" s="3"/>
      <c r="C14" s="3"/>
      <c r="D14" s="48" t="s">
        <v>50</v>
      </c>
      <c r="E14" s="48"/>
      <c r="F14" s="48"/>
      <c r="G14" s="3"/>
      <c r="H14" s="3"/>
    </row>
    <row r="15" spans="2:8" ht="18.75" x14ac:dyDescent="0.3">
      <c r="B15" s="3"/>
      <c r="C15" s="3"/>
      <c r="D15" s="48" t="s">
        <v>51</v>
      </c>
      <c r="E15" s="48"/>
      <c r="F15" s="48"/>
      <c r="G15" s="3"/>
      <c r="H15" s="3"/>
    </row>
    <row r="16" spans="2:8" ht="18.75" x14ac:dyDescent="0.3">
      <c r="B16" s="3"/>
      <c r="C16" s="3"/>
      <c r="D16" s="3"/>
      <c r="E16" s="3"/>
      <c r="F16" s="3"/>
      <c r="G16" s="3"/>
      <c r="H16" s="3"/>
    </row>
    <row r="17" spans="2:8" ht="18.75" x14ac:dyDescent="0.3">
      <c r="B17" s="3"/>
      <c r="C17" s="3"/>
      <c r="D17" s="3"/>
      <c r="E17" s="3"/>
      <c r="F17" s="3"/>
      <c r="G17" s="3"/>
      <c r="H17" s="3"/>
    </row>
    <row r="18" spans="2:8" ht="18.75" x14ac:dyDescent="0.3">
      <c r="B18" s="3"/>
      <c r="C18" s="3"/>
      <c r="D18" s="3"/>
      <c r="E18" s="3"/>
      <c r="F18" s="3"/>
      <c r="G18" s="3"/>
      <c r="H18" s="3"/>
    </row>
    <row r="19" spans="2:8" ht="18.75" x14ac:dyDescent="0.3">
      <c r="B19" s="3"/>
      <c r="C19" s="3"/>
      <c r="D19" s="3"/>
      <c r="E19" s="3"/>
      <c r="F19" s="3"/>
      <c r="G19" s="3"/>
      <c r="H19" s="3"/>
    </row>
    <row r="20" spans="2:8" ht="18.75" x14ac:dyDescent="0.3">
      <c r="B20" s="3"/>
      <c r="C20" s="3"/>
      <c r="D20" s="3"/>
      <c r="E20" s="3"/>
      <c r="F20" s="3"/>
      <c r="G20" s="3"/>
      <c r="H20" s="3"/>
    </row>
    <row r="21" spans="2:8" ht="18.75" x14ac:dyDescent="0.3">
      <c r="B21" s="3"/>
      <c r="C21" s="3"/>
      <c r="D21" s="3"/>
      <c r="E21" s="3"/>
      <c r="F21" s="3"/>
      <c r="G21" s="3"/>
      <c r="H21"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DBC0A-9DEB-47B9-B990-B779F0B84FCF}">
  <sheetPr>
    <tabColor theme="5"/>
    <outlinePr summaryBelow="0"/>
  </sheetPr>
  <dimension ref="B1:G11"/>
  <sheetViews>
    <sheetView showGridLines="0" workbookViewId="0">
      <selection activeCell="T26" sqref="T26"/>
    </sheetView>
  </sheetViews>
  <sheetFormatPr defaultRowHeight="15" outlineLevelRow="1" outlineLevelCol="1" x14ac:dyDescent="0.25"/>
  <cols>
    <col min="3" max="3" width="22.140625" bestFit="1" customWidth="1"/>
    <col min="4" max="7" width="13.140625" bestFit="1" customWidth="1" outlineLevel="1"/>
  </cols>
  <sheetData>
    <row r="1" spans="2:7" ht="15.75" thickBot="1" x14ac:dyDescent="0.3"/>
    <row r="2" spans="2:7" ht="15.75" x14ac:dyDescent="0.25">
      <c r="B2" s="36" t="s">
        <v>19</v>
      </c>
      <c r="C2" s="36"/>
      <c r="D2" s="18"/>
      <c r="E2" s="18"/>
      <c r="F2" s="18"/>
      <c r="G2" s="18"/>
    </row>
    <row r="3" spans="2:7" ht="15.75" collapsed="1" x14ac:dyDescent="0.25">
      <c r="B3" s="35"/>
      <c r="C3" s="35"/>
      <c r="D3" s="19" t="s">
        <v>21</v>
      </c>
      <c r="E3" s="19" t="s">
        <v>16</v>
      </c>
      <c r="F3" s="19" t="s">
        <v>17</v>
      </c>
      <c r="G3" s="19" t="s">
        <v>18</v>
      </c>
    </row>
    <row r="4" spans="2:7" ht="90" hidden="1" outlineLevel="1" x14ac:dyDescent="0.25">
      <c r="B4" s="102"/>
      <c r="C4" s="102"/>
      <c r="D4" s="98"/>
      <c r="E4" s="106" t="s">
        <v>72</v>
      </c>
      <c r="F4" s="106" t="s">
        <v>72</v>
      </c>
      <c r="G4" s="106" t="s">
        <v>72</v>
      </c>
    </row>
    <row r="5" spans="2:7" x14ac:dyDescent="0.25">
      <c r="B5" s="103" t="s">
        <v>20</v>
      </c>
      <c r="C5" s="103"/>
      <c r="D5" s="101"/>
      <c r="E5" s="101"/>
      <c r="F5" s="101"/>
      <c r="G5" s="101"/>
    </row>
    <row r="6" spans="2:7" outlineLevel="1" x14ac:dyDescent="0.25">
      <c r="B6" s="102"/>
      <c r="C6" s="102" t="s">
        <v>32</v>
      </c>
      <c r="D6" s="99">
        <v>90</v>
      </c>
      <c r="E6" s="105">
        <v>80</v>
      </c>
      <c r="F6" s="105">
        <v>90</v>
      </c>
      <c r="G6" s="105">
        <v>100</v>
      </c>
    </row>
    <row r="7" spans="2:7" x14ac:dyDescent="0.25">
      <c r="B7" s="103" t="s">
        <v>22</v>
      </c>
      <c r="C7" s="103"/>
      <c r="D7" s="101"/>
      <c r="E7" s="101"/>
      <c r="F7" s="101"/>
      <c r="G7" s="101"/>
    </row>
    <row r="8" spans="2:7" ht="15.75" outlineLevel="1" thickBot="1" x14ac:dyDescent="0.3">
      <c r="B8" s="104"/>
      <c r="C8" s="104" t="s">
        <v>26</v>
      </c>
      <c r="D8" s="100">
        <v>710000</v>
      </c>
      <c r="E8" s="100">
        <v>860000</v>
      </c>
      <c r="F8" s="100">
        <v>710000</v>
      </c>
      <c r="G8" s="100">
        <v>560000</v>
      </c>
    </row>
    <row r="9" spans="2:7" x14ac:dyDescent="0.25">
      <c r="B9" t="s">
        <v>23</v>
      </c>
    </row>
    <row r="10" spans="2:7" x14ac:dyDescent="0.25">
      <c r="B10" t="s">
        <v>24</v>
      </c>
    </row>
    <row r="11" spans="2:7" x14ac:dyDescent="0.25">
      <c r="B11"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249977111117893"/>
    <outlinePr summaryBelow="0"/>
  </sheetPr>
  <dimension ref="B1:S20"/>
  <sheetViews>
    <sheetView showGridLines="0" tabSelected="1" workbookViewId="0">
      <selection activeCell="S1" sqref="S1:S19"/>
    </sheetView>
  </sheetViews>
  <sheetFormatPr defaultRowHeight="15" outlineLevelRow="1" outlineLevelCol="1" x14ac:dyDescent="0.25"/>
  <cols>
    <col min="3" max="3" width="25.140625" bestFit="1" customWidth="1"/>
    <col min="4" max="7" width="12.5703125" bestFit="1" customWidth="1" outlineLevel="1"/>
    <col min="10" max="10" width="4" customWidth="1"/>
    <col min="12" max="12" width="14.28515625" customWidth="1"/>
    <col min="13" max="13" width="31.140625" customWidth="1"/>
    <col min="14" max="17" width="14.28515625" style="53" customWidth="1"/>
    <col min="19" max="19" width="4" customWidth="1"/>
  </cols>
  <sheetData>
    <row r="1" spans="2:19" ht="24" thickBot="1" x14ac:dyDescent="0.4">
      <c r="F1" s="50" t="s">
        <v>71</v>
      </c>
      <c r="G1" s="49"/>
      <c r="H1" s="49"/>
      <c r="I1" s="49"/>
      <c r="J1" s="51"/>
      <c r="O1" s="50" t="s">
        <v>73</v>
      </c>
      <c r="P1" s="49"/>
      <c r="Q1" s="49"/>
      <c r="S1" s="51"/>
    </row>
    <row r="2" spans="2:19" ht="15.75" x14ac:dyDescent="0.25">
      <c r="B2" s="36" t="s">
        <v>19</v>
      </c>
      <c r="C2" s="36"/>
      <c r="D2" s="18"/>
      <c r="E2" s="18"/>
      <c r="F2" s="18"/>
      <c r="G2" s="18"/>
      <c r="J2" s="51"/>
      <c r="L2" s="36" t="s">
        <v>19</v>
      </c>
      <c r="M2" s="36"/>
      <c r="N2" s="54"/>
      <c r="O2" s="54"/>
      <c r="P2" s="54"/>
      <c r="Q2" s="54"/>
      <c r="S2" s="51"/>
    </row>
    <row r="3" spans="2:19" ht="15.75" collapsed="1" x14ac:dyDescent="0.25">
      <c r="B3" s="35"/>
      <c r="C3" s="35"/>
      <c r="D3" s="19" t="s">
        <v>21</v>
      </c>
      <c r="E3" s="19" t="s">
        <v>16</v>
      </c>
      <c r="F3" s="19" t="s">
        <v>52</v>
      </c>
      <c r="G3" s="19" t="s">
        <v>18</v>
      </c>
      <c r="J3" s="51"/>
      <c r="L3" s="35"/>
      <c r="M3" s="35"/>
      <c r="N3" s="55" t="s">
        <v>21</v>
      </c>
      <c r="O3" s="55" t="s">
        <v>16</v>
      </c>
      <c r="P3" s="55" t="s">
        <v>17</v>
      </c>
      <c r="Q3" s="55" t="s">
        <v>18</v>
      </c>
      <c r="S3" s="51"/>
    </row>
    <row r="4" spans="2:19" ht="78.75" hidden="1" outlineLevel="1" x14ac:dyDescent="0.25">
      <c r="B4" s="37"/>
      <c r="C4" s="37"/>
      <c r="E4" s="20"/>
      <c r="F4" s="20"/>
      <c r="G4" s="20"/>
      <c r="J4" s="51"/>
      <c r="L4" s="37"/>
      <c r="M4" s="37"/>
      <c r="O4" s="56" t="s">
        <v>72</v>
      </c>
      <c r="P4" s="56" t="s">
        <v>72</v>
      </c>
      <c r="Q4" s="56" t="s">
        <v>72</v>
      </c>
      <c r="S4" s="51"/>
    </row>
    <row r="5" spans="2:19" ht="18.75" x14ac:dyDescent="0.3">
      <c r="B5" s="58" t="s">
        <v>20</v>
      </c>
      <c r="C5" s="58"/>
      <c r="D5" s="59"/>
      <c r="E5" s="59"/>
      <c r="F5" s="59"/>
      <c r="G5" s="59"/>
      <c r="J5" s="51"/>
      <c r="L5" s="58" t="s">
        <v>20</v>
      </c>
      <c r="M5" s="58"/>
      <c r="N5" s="65"/>
      <c r="O5" s="65"/>
      <c r="P5" s="65"/>
      <c r="Q5" s="65"/>
      <c r="S5" s="51"/>
    </row>
    <row r="6" spans="2:19" ht="18.75" outlineLevel="1" x14ac:dyDescent="0.3">
      <c r="B6" s="60"/>
      <c r="C6" s="60" t="s">
        <v>31</v>
      </c>
      <c r="D6" s="61">
        <v>45</v>
      </c>
      <c r="E6" s="62">
        <v>43</v>
      </c>
      <c r="F6" s="62">
        <v>45</v>
      </c>
      <c r="G6" s="62">
        <v>47</v>
      </c>
      <c r="J6" s="51"/>
      <c r="L6" s="60"/>
      <c r="M6" s="60" t="s">
        <v>31</v>
      </c>
      <c r="N6" s="66">
        <v>45</v>
      </c>
      <c r="O6" s="67">
        <v>43</v>
      </c>
      <c r="P6" s="67">
        <v>45</v>
      </c>
      <c r="Q6" s="67">
        <v>47</v>
      </c>
      <c r="S6" s="51"/>
    </row>
    <row r="7" spans="2:19" ht="18.75" x14ac:dyDescent="0.3">
      <c r="B7" s="58" t="s">
        <v>22</v>
      </c>
      <c r="C7" s="58"/>
      <c r="D7" s="59"/>
      <c r="E7" s="59"/>
      <c r="F7" s="59"/>
      <c r="G7" s="59"/>
      <c r="J7" s="51"/>
      <c r="L7" s="58" t="s">
        <v>22</v>
      </c>
      <c r="M7" s="58"/>
      <c r="N7" s="65"/>
      <c r="O7" s="65"/>
      <c r="P7" s="65"/>
      <c r="Q7" s="65"/>
      <c r="S7" s="51"/>
    </row>
    <row r="8" spans="2:19" ht="19.5" outlineLevel="1" thickBot="1" x14ac:dyDescent="0.35">
      <c r="B8" s="63"/>
      <c r="C8" s="63" t="s">
        <v>26</v>
      </c>
      <c r="D8" s="64">
        <v>710000</v>
      </c>
      <c r="E8" s="87">
        <v>740000</v>
      </c>
      <c r="F8" s="64">
        <v>710000</v>
      </c>
      <c r="G8" s="64">
        <v>680000</v>
      </c>
      <c r="J8" s="51"/>
      <c r="L8" s="63"/>
      <c r="M8" s="63" t="s">
        <v>26</v>
      </c>
      <c r="N8" s="68">
        <v>804000</v>
      </c>
      <c r="O8" s="86">
        <v>826000</v>
      </c>
      <c r="P8" s="68">
        <v>804000</v>
      </c>
      <c r="Q8" s="68">
        <v>782000</v>
      </c>
      <c r="S8" s="51"/>
    </row>
    <row r="9" spans="2:19" x14ac:dyDescent="0.25">
      <c r="B9" t="s">
        <v>23</v>
      </c>
      <c r="J9" s="51"/>
      <c r="L9" t="s">
        <v>23</v>
      </c>
      <c r="S9" s="51"/>
    </row>
    <row r="10" spans="2:19" x14ac:dyDescent="0.25">
      <c r="B10" t="s">
        <v>24</v>
      </c>
      <c r="J10" s="51"/>
      <c r="L10" t="s">
        <v>24</v>
      </c>
      <c r="S10" s="51"/>
    </row>
    <row r="11" spans="2:19" x14ac:dyDescent="0.25">
      <c r="B11" t="s">
        <v>25</v>
      </c>
      <c r="J11" s="51"/>
      <c r="L11" t="s">
        <v>25</v>
      </c>
      <c r="S11" s="51"/>
    </row>
    <row r="12" spans="2:19" x14ac:dyDescent="0.25">
      <c r="J12" s="51"/>
      <c r="S12" s="51"/>
    </row>
    <row r="13" spans="2:19" x14ac:dyDescent="0.25">
      <c r="J13" s="51"/>
      <c r="S13" s="51"/>
    </row>
    <row r="14" spans="2:19" x14ac:dyDescent="0.25">
      <c r="J14" s="51"/>
      <c r="S14" s="51"/>
    </row>
    <row r="15" spans="2:19" x14ac:dyDescent="0.25">
      <c r="J15" s="51"/>
      <c r="S15" s="51"/>
    </row>
    <row r="16" spans="2:19" x14ac:dyDescent="0.25">
      <c r="J16" s="51"/>
      <c r="S16" s="51"/>
    </row>
    <row r="17" spans="10:19" x14ac:dyDescent="0.25">
      <c r="J17" s="51"/>
      <c r="S17" s="51"/>
    </row>
    <row r="18" spans="10:19" x14ac:dyDescent="0.25">
      <c r="J18" s="51"/>
      <c r="S18" s="51"/>
    </row>
    <row r="19" spans="10:19" x14ac:dyDescent="0.25">
      <c r="J19" s="51"/>
      <c r="S19" s="51"/>
    </row>
    <row r="20" spans="10:19" x14ac:dyDescent="0.25">
      <c r="J20" s="5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outlinePr summaryBelow="0"/>
  </sheetPr>
  <dimension ref="B1:S20"/>
  <sheetViews>
    <sheetView showGridLines="0" workbookViewId="0">
      <selection activeCell="S1" sqref="S1:S19"/>
    </sheetView>
  </sheetViews>
  <sheetFormatPr defaultRowHeight="15" outlineLevelRow="1" outlineLevelCol="1" x14ac:dyDescent="0.25"/>
  <cols>
    <col min="3" max="3" width="33.5703125" customWidth="1"/>
    <col min="4" max="7" width="18.85546875" style="53" customWidth="1" outlineLevel="1"/>
    <col min="10" max="10" width="4" customWidth="1"/>
    <col min="11" max="11" width="19.28515625" customWidth="1"/>
    <col min="12" max="12" width="31.85546875" customWidth="1"/>
    <col min="13" max="16" width="19.28515625" style="53" customWidth="1"/>
    <col min="19" max="19" width="4.28515625" customWidth="1"/>
  </cols>
  <sheetData>
    <row r="1" spans="2:19" ht="24" thickBot="1" x14ac:dyDescent="0.4">
      <c r="E1" s="78" t="s">
        <v>71</v>
      </c>
      <c r="F1" s="73"/>
      <c r="G1" s="73"/>
      <c r="J1" s="51"/>
      <c r="S1" s="51"/>
    </row>
    <row r="2" spans="2:19" ht="18.75" x14ac:dyDescent="0.3">
      <c r="B2" s="69" t="s">
        <v>19</v>
      </c>
      <c r="C2" s="69"/>
      <c r="D2" s="74"/>
      <c r="E2" s="74"/>
      <c r="F2" s="74"/>
      <c r="G2" s="74"/>
      <c r="J2" s="51"/>
      <c r="K2" s="69" t="s">
        <v>19</v>
      </c>
      <c r="L2" s="69"/>
      <c r="M2" s="74"/>
      <c r="N2" s="74"/>
      <c r="O2" s="74"/>
      <c r="P2" s="74"/>
      <c r="S2" s="51"/>
    </row>
    <row r="3" spans="2:19" ht="18.75" collapsed="1" x14ac:dyDescent="0.3">
      <c r="B3" s="70"/>
      <c r="C3" s="70"/>
      <c r="D3" s="75" t="s">
        <v>21</v>
      </c>
      <c r="E3" s="75" t="s">
        <v>16</v>
      </c>
      <c r="F3" s="75" t="s">
        <v>17</v>
      </c>
      <c r="G3" s="75" t="s">
        <v>18</v>
      </c>
      <c r="J3" s="51"/>
      <c r="K3" s="70"/>
      <c r="L3" s="70"/>
      <c r="M3" s="75" t="s">
        <v>21</v>
      </c>
      <c r="N3" s="75" t="s">
        <v>16</v>
      </c>
      <c r="O3" s="75" t="s">
        <v>17</v>
      </c>
      <c r="P3" s="75" t="s">
        <v>18</v>
      </c>
      <c r="S3" s="51"/>
    </row>
    <row r="4" spans="2:19" ht="150" hidden="1" outlineLevel="1" x14ac:dyDescent="0.3">
      <c r="B4" s="60"/>
      <c r="C4" s="60"/>
      <c r="D4" s="76"/>
      <c r="E4" s="77" t="s">
        <v>33</v>
      </c>
      <c r="F4" s="77" t="s">
        <v>34</v>
      </c>
      <c r="G4" s="77" t="s">
        <v>33</v>
      </c>
      <c r="J4" s="51"/>
      <c r="K4" s="60"/>
      <c r="L4" s="60"/>
      <c r="M4" s="76"/>
      <c r="N4" s="77" t="s">
        <v>72</v>
      </c>
      <c r="O4" s="77" t="s">
        <v>72</v>
      </c>
      <c r="P4" s="77" t="s">
        <v>72</v>
      </c>
      <c r="S4" s="51"/>
    </row>
    <row r="5" spans="2:19" ht="18.75" x14ac:dyDescent="0.3">
      <c r="B5" s="58" t="s">
        <v>20</v>
      </c>
      <c r="C5" s="58"/>
      <c r="D5" s="65"/>
      <c r="E5" s="65"/>
      <c r="F5" s="65"/>
      <c r="G5" s="65"/>
      <c r="J5" s="51"/>
      <c r="K5" s="58" t="s">
        <v>20</v>
      </c>
      <c r="L5" s="58"/>
      <c r="M5" s="65"/>
      <c r="N5" s="65"/>
      <c r="O5" s="65"/>
      <c r="P5" s="65"/>
      <c r="S5" s="51"/>
    </row>
    <row r="6" spans="2:19" ht="18.75" outlineLevel="1" x14ac:dyDescent="0.3">
      <c r="B6" s="60"/>
      <c r="C6" s="60" t="s">
        <v>32</v>
      </c>
      <c r="D6" s="66">
        <v>90</v>
      </c>
      <c r="E6" s="67">
        <v>80</v>
      </c>
      <c r="F6" s="67">
        <v>90</v>
      </c>
      <c r="G6" s="67">
        <v>100</v>
      </c>
      <c r="J6" s="51"/>
      <c r="K6" s="60"/>
      <c r="L6" s="60" t="s">
        <v>32</v>
      </c>
      <c r="M6" s="66">
        <v>90</v>
      </c>
      <c r="N6" s="67">
        <v>80</v>
      </c>
      <c r="O6" s="67">
        <v>90</v>
      </c>
      <c r="P6" s="67">
        <v>100</v>
      </c>
      <c r="S6" s="51"/>
    </row>
    <row r="7" spans="2:19" ht="18.75" x14ac:dyDescent="0.3">
      <c r="B7" s="58" t="s">
        <v>22</v>
      </c>
      <c r="C7" s="58"/>
      <c r="D7" s="65"/>
      <c r="E7" s="65"/>
      <c r="F7" s="65"/>
      <c r="G7" s="65"/>
      <c r="J7" s="51"/>
      <c r="K7" s="58" t="s">
        <v>22</v>
      </c>
      <c r="L7" s="58"/>
      <c r="M7" s="65"/>
      <c r="N7" s="65"/>
      <c r="O7" s="65"/>
      <c r="P7" s="65"/>
      <c r="S7" s="51"/>
    </row>
    <row r="8" spans="2:19" ht="19.5" outlineLevel="1" thickBot="1" x14ac:dyDescent="0.35">
      <c r="B8" s="63"/>
      <c r="C8" s="63" t="s">
        <v>26</v>
      </c>
      <c r="D8" s="68">
        <v>710000</v>
      </c>
      <c r="E8" s="86">
        <v>860000</v>
      </c>
      <c r="F8" s="68">
        <v>710000</v>
      </c>
      <c r="G8" s="68">
        <v>560000</v>
      </c>
      <c r="J8" s="51"/>
      <c r="K8" s="63"/>
      <c r="L8" s="63" t="s">
        <v>26</v>
      </c>
      <c r="M8" s="68">
        <v>804000</v>
      </c>
      <c r="N8" s="86">
        <v>914000</v>
      </c>
      <c r="O8" s="68">
        <v>804000</v>
      </c>
      <c r="P8" s="68">
        <v>694000</v>
      </c>
      <c r="S8" s="51"/>
    </row>
    <row r="9" spans="2:19" x14ac:dyDescent="0.25">
      <c r="B9" t="s">
        <v>23</v>
      </c>
      <c r="J9" s="51"/>
      <c r="K9" t="s">
        <v>23</v>
      </c>
      <c r="S9" s="51"/>
    </row>
    <row r="10" spans="2:19" x14ac:dyDescent="0.25">
      <c r="B10" t="s">
        <v>24</v>
      </c>
      <c r="J10" s="51"/>
      <c r="K10" t="s">
        <v>24</v>
      </c>
      <c r="S10" s="51"/>
    </row>
    <row r="11" spans="2:19" x14ac:dyDescent="0.25">
      <c r="B11" t="s">
        <v>25</v>
      </c>
      <c r="J11" s="51"/>
      <c r="K11" t="s">
        <v>25</v>
      </c>
      <c r="S11" s="51"/>
    </row>
    <row r="12" spans="2:19" x14ac:dyDescent="0.25">
      <c r="J12" s="51"/>
      <c r="S12" s="51"/>
    </row>
    <row r="13" spans="2:19" x14ac:dyDescent="0.25">
      <c r="J13" s="51"/>
      <c r="S13" s="51"/>
    </row>
    <row r="14" spans="2:19" x14ac:dyDescent="0.25">
      <c r="J14" s="51"/>
      <c r="S14" s="51"/>
    </row>
    <row r="15" spans="2:19" x14ac:dyDescent="0.25">
      <c r="J15" s="51"/>
      <c r="S15" s="51"/>
    </row>
    <row r="16" spans="2:19" x14ac:dyDescent="0.25">
      <c r="J16" s="51"/>
      <c r="O16"/>
      <c r="S16" s="51"/>
    </row>
    <row r="17" spans="10:19" x14ac:dyDescent="0.25">
      <c r="J17" s="51"/>
      <c r="S17" s="51"/>
    </row>
    <row r="18" spans="10:19" x14ac:dyDescent="0.25">
      <c r="J18" s="51"/>
      <c r="S18" s="51"/>
    </row>
    <row r="19" spans="10:19" x14ac:dyDescent="0.25">
      <c r="J19" s="51"/>
      <c r="S19" s="51"/>
    </row>
    <row r="20" spans="10:19" x14ac:dyDescent="0.25">
      <c r="J20" s="51"/>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outlinePr summaryBelow="0"/>
  </sheetPr>
  <dimension ref="B1:S19"/>
  <sheetViews>
    <sheetView showGridLines="0" workbookViewId="0">
      <selection activeCell="S1" sqref="S1:S19"/>
    </sheetView>
  </sheetViews>
  <sheetFormatPr defaultRowHeight="15" outlineLevelRow="1" outlineLevelCol="1" x14ac:dyDescent="0.25"/>
  <cols>
    <col min="3" max="3" width="21.28515625" customWidth="1"/>
    <col min="4" max="7" width="19.42578125" customWidth="1" outlineLevel="1"/>
    <col min="10" max="10" width="4" customWidth="1"/>
    <col min="11" max="11" width="4" style="57" customWidth="1"/>
    <col min="12" max="12" width="36.28515625" customWidth="1"/>
    <col min="13" max="17" width="16" style="53" customWidth="1"/>
    <col min="18" max="18" width="23.42578125" customWidth="1"/>
    <col min="19" max="19" width="5.5703125" customWidth="1"/>
  </cols>
  <sheetData>
    <row r="1" spans="2:19" ht="24" thickBot="1" x14ac:dyDescent="0.4">
      <c r="D1" s="50" t="s">
        <v>71</v>
      </c>
      <c r="E1" s="49"/>
      <c r="F1" s="49"/>
      <c r="G1" s="49"/>
      <c r="J1" s="51"/>
      <c r="N1" s="50" t="s">
        <v>73</v>
      </c>
      <c r="O1" s="49"/>
      <c r="P1" s="49"/>
      <c r="S1" s="51"/>
    </row>
    <row r="2" spans="2:19" ht="18.75" collapsed="1" x14ac:dyDescent="0.3">
      <c r="B2" s="69" t="s">
        <v>19</v>
      </c>
      <c r="C2" s="70"/>
      <c r="D2" s="71" t="s">
        <v>21</v>
      </c>
      <c r="E2" s="71" t="s">
        <v>16</v>
      </c>
      <c r="F2" s="71" t="s">
        <v>17</v>
      </c>
      <c r="G2" s="71" t="s">
        <v>18</v>
      </c>
      <c r="J2" s="51"/>
      <c r="L2" s="69" t="s">
        <v>19</v>
      </c>
      <c r="M2" s="81"/>
      <c r="N2" s="75" t="s">
        <v>21</v>
      </c>
      <c r="O2" s="75" t="s">
        <v>16</v>
      </c>
      <c r="P2" s="75" t="s">
        <v>17</v>
      </c>
      <c r="Q2" s="75" t="s">
        <v>18</v>
      </c>
      <c r="S2" s="51"/>
    </row>
    <row r="3" spans="2:19" ht="187.5" hidden="1" outlineLevel="1" x14ac:dyDescent="0.3">
      <c r="B3" s="60"/>
      <c r="C3" s="60"/>
      <c r="D3" s="3"/>
      <c r="E3" s="72"/>
      <c r="F3" s="72"/>
      <c r="G3" s="72"/>
      <c r="J3" s="51"/>
      <c r="L3" s="60"/>
      <c r="M3" s="82"/>
      <c r="N3" s="76"/>
      <c r="O3" s="77" t="s">
        <v>72</v>
      </c>
      <c r="P3" s="77" t="s">
        <v>72</v>
      </c>
      <c r="Q3" s="77" t="s">
        <v>72</v>
      </c>
      <c r="S3" s="51"/>
    </row>
    <row r="4" spans="2:19" ht="18.75" x14ac:dyDescent="0.3">
      <c r="B4" s="58" t="s">
        <v>20</v>
      </c>
      <c r="C4" s="58"/>
      <c r="D4" s="59"/>
      <c r="E4" s="59"/>
      <c r="F4" s="59"/>
      <c r="G4" s="59"/>
      <c r="J4" s="51"/>
      <c r="L4" s="58" t="s">
        <v>20</v>
      </c>
      <c r="M4" s="83"/>
      <c r="N4" s="65"/>
      <c r="O4" s="65"/>
      <c r="P4" s="65"/>
      <c r="Q4" s="65"/>
      <c r="S4" s="51"/>
    </row>
    <row r="5" spans="2:19" ht="18.75" outlineLevel="1" x14ac:dyDescent="0.3">
      <c r="B5" s="60"/>
      <c r="C5" s="60" t="s">
        <v>6</v>
      </c>
      <c r="D5" s="79">
        <v>15000</v>
      </c>
      <c r="E5" s="80">
        <v>30000</v>
      </c>
      <c r="F5" s="80">
        <v>15000</v>
      </c>
      <c r="G5" s="80">
        <v>0</v>
      </c>
      <c r="J5" s="51"/>
      <c r="L5" s="60"/>
      <c r="M5" s="82" t="s">
        <v>6</v>
      </c>
      <c r="N5" s="76">
        <v>11000</v>
      </c>
      <c r="O5" s="84">
        <v>22000</v>
      </c>
      <c r="P5" s="84">
        <v>11000</v>
      </c>
      <c r="Q5" s="84">
        <v>0</v>
      </c>
      <c r="S5" s="51"/>
    </row>
    <row r="6" spans="2:19" ht="18.75" x14ac:dyDescent="0.3">
      <c r="B6" s="58" t="s">
        <v>22</v>
      </c>
      <c r="C6" s="58"/>
      <c r="D6" s="59"/>
      <c r="E6" s="59"/>
      <c r="F6" s="59"/>
      <c r="G6" s="59"/>
      <c r="J6" s="51"/>
      <c r="L6" s="58" t="s">
        <v>22</v>
      </c>
      <c r="M6" s="83"/>
      <c r="N6" s="65"/>
      <c r="O6" s="65"/>
      <c r="P6" s="65"/>
      <c r="Q6" s="65"/>
      <c r="S6" s="51"/>
    </row>
    <row r="7" spans="2:19" ht="19.5" outlineLevel="1" thickBot="1" x14ac:dyDescent="0.35">
      <c r="B7" s="63"/>
      <c r="C7" s="63" t="s">
        <v>26</v>
      </c>
      <c r="D7" s="64">
        <v>710000</v>
      </c>
      <c r="E7" s="87">
        <v>2420000</v>
      </c>
      <c r="F7" s="64">
        <v>710000</v>
      </c>
      <c r="G7" s="64">
        <v>-1000000</v>
      </c>
      <c r="J7" s="51"/>
      <c r="L7" s="63"/>
      <c r="M7" s="85" t="s">
        <v>26</v>
      </c>
      <c r="N7" s="68">
        <v>804000</v>
      </c>
      <c r="O7" s="86">
        <v>2608000</v>
      </c>
      <c r="P7" s="68">
        <v>804000</v>
      </c>
      <c r="Q7" s="68">
        <v>-1000000</v>
      </c>
      <c r="S7" s="51"/>
    </row>
    <row r="8" spans="2:19" x14ac:dyDescent="0.25">
      <c r="B8" t="s">
        <v>23</v>
      </c>
      <c r="J8" s="51"/>
      <c r="L8" t="s">
        <v>23</v>
      </c>
      <c r="S8" s="51"/>
    </row>
    <row r="9" spans="2:19" x14ac:dyDescent="0.25">
      <c r="B9" t="s">
        <v>24</v>
      </c>
      <c r="J9" s="51"/>
      <c r="L9" t="s">
        <v>24</v>
      </c>
      <c r="S9" s="51"/>
    </row>
    <row r="10" spans="2:19" x14ac:dyDescent="0.25">
      <c r="B10" t="s">
        <v>25</v>
      </c>
      <c r="J10" s="51"/>
      <c r="L10" t="s">
        <v>25</v>
      </c>
      <c r="S10" s="51"/>
    </row>
    <row r="11" spans="2:19" x14ac:dyDescent="0.25">
      <c r="J11" s="51"/>
      <c r="S11" s="51"/>
    </row>
    <row r="12" spans="2:19" x14ac:dyDescent="0.25">
      <c r="J12" s="51"/>
      <c r="S12" s="51"/>
    </row>
    <row r="13" spans="2:19" x14ac:dyDescent="0.25">
      <c r="J13" s="51"/>
      <c r="S13" s="51"/>
    </row>
    <row r="14" spans="2:19" x14ac:dyDescent="0.25">
      <c r="J14" s="51"/>
      <c r="S14" s="51"/>
    </row>
    <row r="15" spans="2:19" x14ac:dyDescent="0.25">
      <c r="J15" s="51"/>
      <c r="S15" s="51"/>
    </row>
    <row r="16" spans="2:19" x14ac:dyDescent="0.25">
      <c r="J16" s="51"/>
      <c r="S16" s="51"/>
    </row>
    <row r="17" spans="10:19" x14ac:dyDescent="0.25">
      <c r="J17" s="51"/>
      <c r="S17" s="51"/>
    </row>
    <row r="18" spans="10:19" x14ac:dyDescent="0.25">
      <c r="J18" s="51"/>
      <c r="S18" s="51"/>
    </row>
    <row r="19" spans="10:19" x14ac:dyDescent="0.25">
      <c r="J19" s="51"/>
      <c r="S19" s="5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C848D-92F3-4294-B1B4-B72D3FA8995C}">
  <sheetPr>
    <tabColor theme="5"/>
    <outlinePr summaryBelow="0"/>
  </sheetPr>
  <dimension ref="B1:Q39"/>
  <sheetViews>
    <sheetView showGridLines="0" workbookViewId="0">
      <selection activeCell="Y21" sqref="Y21"/>
    </sheetView>
  </sheetViews>
  <sheetFormatPr defaultRowHeight="15" outlineLevelRow="1" outlineLevelCol="1" x14ac:dyDescent="0.25"/>
  <cols>
    <col min="3" max="3" width="37.28515625" customWidth="1"/>
    <col min="4" max="6" width="16.140625" style="53" customWidth="1" outlineLevel="1"/>
    <col min="9" max="9" width="3" customWidth="1"/>
    <col min="12" max="12" width="38.85546875" customWidth="1"/>
    <col min="13" max="15" width="16.42578125" customWidth="1"/>
    <col min="17" max="17" width="2.7109375" customWidth="1"/>
  </cols>
  <sheetData>
    <row r="1" spans="2:17" x14ac:dyDescent="0.25">
      <c r="Q1" s="51"/>
    </row>
    <row r="2" spans="2:17" ht="24" thickBot="1" x14ac:dyDescent="0.4">
      <c r="C2" s="50" t="s">
        <v>71</v>
      </c>
      <c r="I2" s="91"/>
      <c r="K2" s="50" t="s">
        <v>73</v>
      </c>
      <c r="L2" s="49"/>
      <c r="Q2" s="51"/>
    </row>
    <row r="3" spans="2:17" ht="18.75" x14ac:dyDescent="0.3">
      <c r="B3" s="36" t="s">
        <v>19</v>
      </c>
      <c r="C3" s="36"/>
      <c r="D3" s="75" t="s">
        <v>16</v>
      </c>
      <c r="E3" s="75" t="s">
        <v>17</v>
      </c>
      <c r="F3" s="75" t="s">
        <v>18</v>
      </c>
      <c r="I3" s="91"/>
      <c r="K3" s="36" t="s">
        <v>19</v>
      </c>
      <c r="L3" s="36"/>
      <c r="M3" s="75" t="s">
        <v>16</v>
      </c>
      <c r="N3" s="75" t="s">
        <v>17</v>
      </c>
      <c r="O3" s="75" t="s">
        <v>18</v>
      </c>
      <c r="Q3" s="51"/>
    </row>
    <row r="4" spans="2:17" ht="15.75" hidden="1" outlineLevel="1" x14ac:dyDescent="0.25">
      <c r="B4" s="35"/>
      <c r="C4" s="35"/>
      <c r="D4" s="55" t="s">
        <v>16</v>
      </c>
      <c r="E4" s="55" t="s">
        <v>52</v>
      </c>
      <c r="F4" s="55" t="s">
        <v>18</v>
      </c>
      <c r="I4" s="91"/>
      <c r="K4" s="35"/>
      <c r="L4" s="35"/>
      <c r="M4" s="55" t="s">
        <v>16</v>
      </c>
      <c r="N4" s="55" t="s">
        <v>17</v>
      </c>
      <c r="O4" s="55" t="s">
        <v>18</v>
      </c>
      <c r="Q4" s="51"/>
    </row>
    <row r="5" spans="2:17" ht="18.75" outlineLevel="1" x14ac:dyDescent="0.3">
      <c r="B5" s="58" t="s">
        <v>20</v>
      </c>
      <c r="C5" s="58"/>
      <c r="D5" s="65"/>
      <c r="E5" s="65"/>
      <c r="F5" s="65"/>
      <c r="I5" s="91"/>
      <c r="K5" s="58" t="s">
        <v>20</v>
      </c>
      <c r="L5" s="58"/>
      <c r="M5" s="65"/>
      <c r="N5" s="65"/>
      <c r="O5" s="65"/>
      <c r="Q5" s="51"/>
    </row>
    <row r="6" spans="2:17" ht="18.75" x14ac:dyDescent="0.3">
      <c r="B6" s="60"/>
      <c r="C6" s="60" t="s">
        <v>31</v>
      </c>
      <c r="D6" s="67">
        <v>43</v>
      </c>
      <c r="E6" s="67">
        <v>45</v>
      </c>
      <c r="F6" s="67">
        <v>47</v>
      </c>
      <c r="I6" s="91"/>
      <c r="K6" s="60"/>
      <c r="L6" s="60" t="s">
        <v>31</v>
      </c>
      <c r="M6" s="67">
        <v>43</v>
      </c>
      <c r="N6" s="67">
        <v>45</v>
      </c>
      <c r="O6" s="67">
        <v>47</v>
      </c>
      <c r="Q6" s="51"/>
    </row>
    <row r="7" spans="2:17" ht="19.5" thickBot="1" x14ac:dyDescent="0.35">
      <c r="B7" s="63"/>
      <c r="C7" s="63" t="s">
        <v>26</v>
      </c>
      <c r="D7" s="86">
        <v>740000</v>
      </c>
      <c r="E7" s="68">
        <v>710000</v>
      </c>
      <c r="F7" s="68">
        <v>680000</v>
      </c>
      <c r="I7" s="91"/>
      <c r="K7" s="63"/>
      <c r="L7" s="63" t="s">
        <v>26</v>
      </c>
      <c r="M7" s="86">
        <v>826000</v>
      </c>
      <c r="N7" s="68">
        <v>804000</v>
      </c>
      <c r="O7" s="68">
        <v>782000</v>
      </c>
      <c r="Q7" s="51"/>
    </row>
    <row r="8" spans="2:17" x14ac:dyDescent="0.25">
      <c r="I8" s="91"/>
      <c r="Q8" s="51"/>
    </row>
    <row r="9" spans="2:17" ht="15.75" thickBot="1" x14ac:dyDescent="0.3">
      <c r="I9" s="91"/>
      <c r="Q9" s="51"/>
    </row>
    <row r="10" spans="2:17" ht="18.75" x14ac:dyDescent="0.3">
      <c r="B10" s="69" t="s">
        <v>19</v>
      </c>
      <c r="C10" s="69"/>
      <c r="D10" s="75" t="s">
        <v>16</v>
      </c>
      <c r="E10" s="75" t="s">
        <v>17</v>
      </c>
      <c r="F10" s="75" t="s">
        <v>18</v>
      </c>
      <c r="I10" s="91"/>
      <c r="K10" s="69" t="s">
        <v>19</v>
      </c>
      <c r="L10" s="70"/>
      <c r="M10" s="75" t="s">
        <v>16</v>
      </c>
      <c r="N10" s="75" t="s">
        <v>17</v>
      </c>
      <c r="O10" s="75" t="s">
        <v>18</v>
      </c>
      <c r="Q10" s="51"/>
    </row>
    <row r="11" spans="2:17" ht="18.75" x14ac:dyDescent="0.3">
      <c r="B11" s="58" t="s">
        <v>20</v>
      </c>
      <c r="C11" s="58"/>
      <c r="D11" s="65"/>
      <c r="E11" s="65"/>
      <c r="F11" s="65"/>
      <c r="I11" s="91"/>
      <c r="K11" s="58" t="s">
        <v>20</v>
      </c>
      <c r="L11" s="58"/>
      <c r="M11" s="65"/>
      <c r="N11" s="65"/>
      <c r="O11" s="65"/>
      <c r="Q11" s="51"/>
    </row>
    <row r="12" spans="2:17" ht="18.75" x14ac:dyDescent="0.3">
      <c r="B12" s="60"/>
      <c r="C12" s="60" t="s">
        <v>32</v>
      </c>
      <c r="D12" s="67">
        <v>80</v>
      </c>
      <c r="E12" s="67">
        <v>90</v>
      </c>
      <c r="F12" s="67">
        <v>100</v>
      </c>
      <c r="I12" s="91"/>
      <c r="K12" s="60"/>
      <c r="L12" s="60" t="s">
        <v>32</v>
      </c>
      <c r="M12" s="67">
        <v>80</v>
      </c>
      <c r="N12" s="67">
        <v>90</v>
      </c>
      <c r="O12" s="67">
        <v>100</v>
      </c>
      <c r="Q12" s="51"/>
    </row>
    <row r="13" spans="2:17" ht="19.5" thickBot="1" x14ac:dyDescent="0.35">
      <c r="B13" s="63"/>
      <c r="C13" s="63" t="s">
        <v>26</v>
      </c>
      <c r="D13" s="86">
        <v>860000</v>
      </c>
      <c r="E13" s="68">
        <v>710000</v>
      </c>
      <c r="F13" s="68">
        <v>560000</v>
      </c>
      <c r="I13" s="91"/>
      <c r="K13" s="63"/>
      <c r="L13" s="63" t="s">
        <v>26</v>
      </c>
      <c r="M13" s="86">
        <v>914000</v>
      </c>
      <c r="N13" s="68">
        <v>804000</v>
      </c>
      <c r="O13" s="68">
        <v>694000</v>
      </c>
      <c r="Q13" s="51"/>
    </row>
    <row r="14" spans="2:17" x14ac:dyDescent="0.25">
      <c r="I14" s="91"/>
      <c r="Q14" s="51"/>
    </row>
    <row r="15" spans="2:17" ht="15.75" thickBot="1" x14ac:dyDescent="0.3">
      <c r="I15" s="91"/>
      <c r="Q15" s="51"/>
    </row>
    <row r="16" spans="2:17" ht="18.75" x14ac:dyDescent="0.3">
      <c r="B16" s="69" t="s">
        <v>19</v>
      </c>
      <c r="C16" s="70"/>
      <c r="D16" s="71" t="s">
        <v>16</v>
      </c>
      <c r="E16" s="71" t="s">
        <v>17</v>
      </c>
      <c r="F16" s="71" t="s">
        <v>18</v>
      </c>
      <c r="I16" s="91"/>
      <c r="K16" s="69" t="s">
        <v>19</v>
      </c>
      <c r="L16" s="81"/>
      <c r="M16" s="75" t="s">
        <v>16</v>
      </c>
      <c r="N16" s="75" t="s">
        <v>17</v>
      </c>
      <c r="O16" s="75" t="s">
        <v>18</v>
      </c>
      <c r="Q16" s="51"/>
    </row>
    <row r="17" spans="2:17" ht="18.75" x14ac:dyDescent="0.3">
      <c r="B17" s="58" t="s">
        <v>20</v>
      </c>
      <c r="C17" s="58"/>
      <c r="D17" s="59"/>
      <c r="E17" s="59"/>
      <c r="F17" s="59"/>
      <c r="I17" s="91"/>
      <c r="K17" s="58" t="s">
        <v>20</v>
      </c>
      <c r="L17" s="83"/>
      <c r="M17" s="65"/>
      <c r="N17" s="65"/>
      <c r="O17" s="65"/>
      <c r="Q17" s="51"/>
    </row>
    <row r="18" spans="2:17" ht="18.75" x14ac:dyDescent="0.3">
      <c r="B18" s="60"/>
      <c r="C18" s="60" t="s">
        <v>6</v>
      </c>
      <c r="D18" s="80">
        <v>30000</v>
      </c>
      <c r="E18" s="80">
        <v>15000</v>
      </c>
      <c r="F18" s="80">
        <v>0</v>
      </c>
      <c r="I18" s="91"/>
      <c r="K18" s="60"/>
      <c r="L18" s="82" t="s">
        <v>6</v>
      </c>
      <c r="M18" s="84">
        <v>22000</v>
      </c>
      <c r="N18" s="84">
        <v>11000</v>
      </c>
      <c r="O18" s="84">
        <v>0</v>
      </c>
      <c r="Q18" s="51"/>
    </row>
    <row r="19" spans="2:17" ht="19.5" thickBot="1" x14ac:dyDescent="0.35">
      <c r="B19" s="63"/>
      <c r="C19" s="63" t="s">
        <v>26</v>
      </c>
      <c r="D19" s="87">
        <v>2420000</v>
      </c>
      <c r="E19" s="64">
        <v>710000</v>
      </c>
      <c r="F19" s="89">
        <v>-1000000</v>
      </c>
      <c r="I19" s="91"/>
      <c r="K19" s="63"/>
      <c r="L19" s="85" t="s">
        <v>26</v>
      </c>
      <c r="M19" s="88">
        <v>2608000</v>
      </c>
      <c r="N19" s="68">
        <v>804000</v>
      </c>
      <c r="O19" s="90">
        <v>-1000000</v>
      </c>
      <c r="Q19" s="51"/>
    </row>
    <row r="20" spans="2:17" x14ac:dyDescent="0.25">
      <c r="I20" s="91"/>
    </row>
    <row r="21" spans="2:17" x14ac:dyDescent="0.25">
      <c r="I21" s="91"/>
    </row>
    <row r="22" spans="2:17" x14ac:dyDescent="0.25">
      <c r="I22" s="91"/>
    </row>
    <row r="23" spans="2:17" x14ac:dyDescent="0.25">
      <c r="I23" s="91"/>
    </row>
    <row r="24" spans="2:17" x14ac:dyDescent="0.25">
      <c r="H24" s="53"/>
      <c r="I24" s="92"/>
      <c r="J24" s="53"/>
    </row>
    <row r="25" spans="2:17" x14ac:dyDescent="0.25">
      <c r="H25" s="53"/>
      <c r="I25" s="92"/>
      <c r="J25" s="53"/>
    </row>
    <row r="26" spans="2:17" x14ac:dyDescent="0.25">
      <c r="H26" s="53"/>
      <c r="I26" s="92"/>
      <c r="J26" s="53"/>
    </row>
    <row r="27" spans="2:17" x14ac:dyDescent="0.25">
      <c r="H27" s="53"/>
      <c r="I27" s="92"/>
      <c r="J27" s="53"/>
    </row>
    <row r="28" spans="2:17" x14ac:dyDescent="0.25">
      <c r="H28" s="53"/>
      <c r="I28" s="92"/>
      <c r="J28" s="53"/>
    </row>
    <row r="29" spans="2:17" x14ac:dyDescent="0.25">
      <c r="H29" s="53"/>
      <c r="I29" s="92"/>
      <c r="J29" s="53"/>
    </row>
    <row r="30" spans="2:17" x14ac:dyDescent="0.25">
      <c r="H30" s="53"/>
      <c r="I30" s="92"/>
      <c r="J30" s="53"/>
    </row>
    <row r="31" spans="2:17" x14ac:dyDescent="0.25">
      <c r="H31" s="53"/>
      <c r="I31" s="92"/>
      <c r="J31" s="53"/>
    </row>
    <row r="32" spans="2:17" x14ac:dyDescent="0.25">
      <c r="H32" s="53"/>
      <c r="I32" s="92"/>
      <c r="J32" s="53"/>
    </row>
    <row r="33" spans="8:10" x14ac:dyDescent="0.25">
      <c r="H33" s="53"/>
      <c r="I33" s="92"/>
      <c r="J33" s="53"/>
    </row>
    <row r="34" spans="8:10" x14ac:dyDescent="0.25">
      <c r="H34" s="53"/>
      <c r="I34" s="92"/>
      <c r="J34" s="53"/>
    </row>
    <row r="35" spans="8:10" x14ac:dyDescent="0.25">
      <c r="H35" s="53"/>
      <c r="I35" s="92"/>
      <c r="J35" s="53"/>
    </row>
    <row r="36" spans="8:10" x14ac:dyDescent="0.25">
      <c r="H36" s="53"/>
      <c r="I36" s="92"/>
      <c r="J36" s="53"/>
    </row>
    <row r="37" spans="8:10" x14ac:dyDescent="0.25">
      <c r="I37" s="92"/>
    </row>
    <row r="38" spans="8:10" x14ac:dyDescent="0.25">
      <c r="I38" s="92"/>
    </row>
    <row r="39" spans="8:10" x14ac:dyDescent="0.25">
      <c r="I39" s="9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K27"/>
  <sheetViews>
    <sheetView showGridLines="0" zoomScaleNormal="100" workbookViewId="0">
      <selection activeCell="K23" sqref="K23"/>
    </sheetView>
  </sheetViews>
  <sheetFormatPr defaultRowHeight="15" x14ac:dyDescent="0.25"/>
  <cols>
    <col min="1" max="1" width="4.5703125" customWidth="1"/>
    <col min="2" max="2" width="32" customWidth="1"/>
    <col min="3" max="3" width="13" customWidth="1"/>
    <col min="4" max="4" width="4.5703125" customWidth="1"/>
    <col min="5" max="5" width="3" customWidth="1"/>
    <col min="6" max="6" width="4.5703125" customWidth="1"/>
    <col min="7" max="7" width="26.42578125" bestFit="1" customWidth="1"/>
    <col min="9" max="9" width="21.28515625" customWidth="1"/>
    <col min="10" max="10" width="4.5703125" customWidth="1"/>
  </cols>
  <sheetData>
    <row r="1" spans="1:11" ht="15.75" x14ac:dyDescent="0.25">
      <c r="A1" s="1"/>
      <c r="B1" s="1"/>
      <c r="C1" s="1"/>
      <c r="D1" s="1"/>
      <c r="E1" s="1"/>
      <c r="F1" s="1"/>
      <c r="G1" s="1"/>
      <c r="H1" s="1"/>
      <c r="I1" s="1"/>
      <c r="J1" s="1"/>
    </row>
    <row r="2" spans="1:11" ht="18.600000000000001" customHeight="1" x14ac:dyDescent="0.3">
      <c r="A2" s="1"/>
      <c r="B2" s="2" t="s">
        <v>1</v>
      </c>
      <c r="C2" s="3"/>
      <c r="D2" s="3"/>
      <c r="E2" s="4"/>
      <c r="F2" s="3"/>
      <c r="G2" s="5" t="s">
        <v>2</v>
      </c>
      <c r="H2" s="1"/>
      <c r="I2" s="1"/>
      <c r="J2" s="1"/>
    </row>
    <row r="3" spans="1:11" ht="15.6" customHeight="1" x14ac:dyDescent="0.25">
      <c r="A3" s="1"/>
      <c r="B3" s="1"/>
      <c r="C3" s="1"/>
      <c r="D3" s="1"/>
      <c r="E3" s="6"/>
      <c r="F3" s="1"/>
      <c r="G3" s="7" t="s">
        <v>3</v>
      </c>
      <c r="H3" s="8"/>
      <c r="I3" s="1"/>
      <c r="J3" s="1"/>
    </row>
    <row r="4" spans="1:11" ht="18.75" x14ac:dyDescent="0.25">
      <c r="A4" s="1"/>
      <c r="B4" s="9" t="s">
        <v>62</v>
      </c>
      <c r="C4" s="43">
        <f>H10-H4-H5</f>
        <v>114</v>
      </c>
      <c r="D4" s="1"/>
      <c r="E4" s="6"/>
      <c r="F4" s="1"/>
      <c r="G4" s="10" t="s">
        <v>4</v>
      </c>
      <c r="H4" s="11">
        <v>45</v>
      </c>
      <c r="I4" s="52" t="s">
        <v>69</v>
      </c>
      <c r="J4" s="29"/>
    </row>
    <row r="5" spans="1:11" ht="15.6" customHeight="1" x14ac:dyDescent="0.25">
      <c r="A5" s="1"/>
      <c r="B5" s="12"/>
      <c r="C5" s="1"/>
      <c r="D5" s="1"/>
      <c r="E5" s="6"/>
      <c r="F5" s="1"/>
      <c r="G5" s="10" t="s">
        <v>5</v>
      </c>
      <c r="H5" s="11">
        <v>90</v>
      </c>
      <c r="I5" s="52" t="s">
        <v>70</v>
      </c>
      <c r="J5" s="30"/>
    </row>
    <row r="6" spans="1:11" ht="18.75" x14ac:dyDescent="0.25">
      <c r="A6" s="1"/>
      <c r="B6" s="13" t="s">
        <v>61</v>
      </c>
      <c r="C6" s="14">
        <f>(C4*H6-(H14+H15)*1000000)</f>
        <v>710000</v>
      </c>
      <c r="D6" s="1"/>
      <c r="E6" s="6"/>
      <c r="F6" s="1"/>
      <c r="G6" s="10" t="s">
        <v>6</v>
      </c>
      <c r="H6" s="27">
        <f>IF(Selling_price_per_unit=249,15000,11000)</f>
        <v>15000</v>
      </c>
      <c r="I6" s="52" t="s">
        <v>69</v>
      </c>
      <c r="J6" s="30"/>
      <c r="K6" s="38"/>
    </row>
    <row r="7" spans="1:11" ht="15.75" x14ac:dyDescent="0.25">
      <c r="A7" s="1"/>
      <c r="B7" s="1"/>
      <c r="C7" s="1"/>
      <c r="D7" s="1"/>
      <c r="E7" s="6"/>
      <c r="F7" s="1"/>
      <c r="G7" s="1"/>
      <c r="H7" s="1"/>
      <c r="I7" s="1"/>
      <c r="J7" s="1"/>
    </row>
    <row r="8" spans="1:11" ht="15.75" x14ac:dyDescent="0.25">
      <c r="A8" s="1"/>
      <c r="B8" s="1"/>
      <c r="C8" s="1"/>
      <c r="D8" s="1"/>
      <c r="E8" s="6"/>
      <c r="F8" s="1"/>
      <c r="G8" s="8"/>
      <c r="H8" s="8"/>
      <c r="I8" s="1"/>
      <c r="J8" s="1"/>
    </row>
    <row r="9" spans="1:11" ht="15.75" x14ac:dyDescent="0.25">
      <c r="A9" s="1"/>
      <c r="B9" s="1"/>
      <c r="C9" s="1"/>
      <c r="D9" s="1"/>
      <c r="E9" s="6"/>
      <c r="F9" s="1"/>
      <c r="G9" s="7" t="s">
        <v>7</v>
      </c>
      <c r="H9" s="8"/>
      <c r="I9" s="1"/>
      <c r="J9" s="1"/>
    </row>
    <row r="10" spans="1:11" ht="15.75" x14ac:dyDescent="0.25">
      <c r="A10" s="1"/>
      <c r="B10" s="1"/>
      <c r="C10" s="1"/>
      <c r="D10" s="1"/>
      <c r="E10" s="6"/>
      <c r="F10" s="1"/>
      <c r="G10" s="15" t="s">
        <v>63</v>
      </c>
      <c r="H10" s="16">
        <v>249</v>
      </c>
      <c r="I10" s="1"/>
      <c r="J10" s="8"/>
    </row>
    <row r="11" spans="1:11" ht="15.75" x14ac:dyDescent="0.25">
      <c r="A11" s="1"/>
      <c r="B11" s="1"/>
      <c r="C11" s="1"/>
      <c r="D11" s="1"/>
      <c r="E11" s="6"/>
      <c r="F11" s="1"/>
      <c r="G11" s="1"/>
      <c r="H11" s="1"/>
      <c r="I11" s="1"/>
      <c r="J11" s="1"/>
    </row>
    <row r="12" spans="1:11" ht="15.75" x14ac:dyDescent="0.25">
      <c r="A12" s="1"/>
      <c r="B12" s="1"/>
      <c r="C12" s="1"/>
      <c r="D12" s="1"/>
      <c r="E12" s="6"/>
      <c r="F12" s="1"/>
      <c r="G12" s="1"/>
      <c r="H12" s="1"/>
      <c r="I12" s="1"/>
      <c r="J12" s="1"/>
    </row>
    <row r="13" spans="1:11" ht="15.75" x14ac:dyDescent="0.25">
      <c r="A13" s="1"/>
      <c r="B13" s="1"/>
      <c r="C13" s="1"/>
      <c r="D13" s="1"/>
      <c r="E13" s="6"/>
      <c r="F13" s="1"/>
      <c r="G13" s="7" t="s">
        <v>8</v>
      </c>
      <c r="H13" s="8"/>
      <c r="I13" s="1"/>
      <c r="J13" s="1"/>
    </row>
    <row r="14" spans="1:11" ht="15.75" x14ac:dyDescent="0.25">
      <c r="A14" s="1"/>
      <c r="B14" s="8"/>
      <c r="C14" s="8"/>
      <c r="D14" s="1"/>
      <c r="E14" s="6"/>
      <c r="F14" s="1"/>
      <c r="G14" s="17" t="s">
        <v>48</v>
      </c>
      <c r="H14" s="34">
        <v>0.35</v>
      </c>
      <c r="I14" s="1"/>
      <c r="J14" s="1"/>
    </row>
    <row r="15" spans="1:11" ht="15.75" x14ac:dyDescent="0.25">
      <c r="A15" s="1"/>
      <c r="B15" s="1"/>
      <c r="C15" s="1"/>
      <c r="D15" s="1"/>
      <c r="E15" s="6"/>
      <c r="F15" s="1"/>
      <c r="G15" s="17" t="s">
        <v>49</v>
      </c>
      <c r="H15" s="34">
        <v>0.65</v>
      </c>
      <c r="I15" s="1"/>
      <c r="J15" s="1"/>
    </row>
    <row r="16" spans="1:11" ht="15.75" x14ac:dyDescent="0.25">
      <c r="A16" s="1"/>
      <c r="B16" s="1"/>
      <c r="C16" s="1"/>
      <c r="D16" s="1"/>
      <c r="E16" s="6"/>
      <c r="F16" s="1"/>
      <c r="I16" s="1"/>
      <c r="J16" s="1"/>
    </row>
    <row r="17" spans="1:10" ht="15.75" x14ac:dyDescent="0.25">
      <c r="A17" s="1"/>
      <c r="B17" s="1"/>
      <c r="C17" s="1"/>
      <c r="D17" s="1"/>
      <c r="E17" s="6"/>
      <c r="F17" s="1"/>
      <c r="G17" s="31"/>
      <c r="H17" s="31"/>
      <c r="I17" s="31"/>
      <c r="J17" s="1"/>
    </row>
    <row r="18" spans="1:10" ht="15.75" x14ac:dyDescent="0.25">
      <c r="E18" s="6"/>
      <c r="G18" s="31"/>
      <c r="H18" s="31"/>
      <c r="I18" s="31"/>
      <c r="J18" s="1"/>
    </row>
    <row r="19" spans="1:10" ht="15.6" customHeight="1" x14ac:dyDescent="0.25">
      <c r="E19" s="6"/>
      <c r="J19" s="28"/>
    </row>
    <row r="20" spans="1:10" ht="15.75" x14ac:dyDescent="0.25">
      <c r="E20" s="6"/>
      <c r="J20" s="28"/>
    </row>
    <row r="21" spans="1:10" ht="15.75" x14ac:dyDescent="0.25">
      <c r="E21" s="6"/>
      <c r="I21" s="1"/>
      <c r="J21" s="1"/>
    </row>
    <row r="22" spans="1:10" ht="15.75" x14ac:dyDescent="0.25">
      <c r="E22" s="6"/>
      <c r="I22" s="1"/>
    </row>
    <row r="23" spans="1:10" ht="15.75" x14ac:dyDescent="0.25">
      <c r="E23" s="6"/>
    </row>
    <row r="24" spans="1:10" ht="14.65" customHeight="1" x14ac:dyDescent="0.25">
      <c r="E24" s="6"/>
    </row>
    <row r="25" spans="1:10" ht="14.65" customHeight="1" x14ac:dyDescent="0.25">
      <c r="E25" s="6"/>
    </row>
    <row r="26" spans="1:10" ht="15.75" x14ac:dyDescent="0.25">
      <c r="E26" s="6"/>
    </row>
    <row r="27" spans="1:10" ht="15.75" x14ac:dyDescent="0.25">
      <c r="E27" s="6"/>
    </row>
  </sheetData>
  <scenarios current="2" sqref="C6">
    <scenario name="Best case" locked="1" count="1" user="Annista Wijayanayake" comment="Created by Annista Wijayanayake on 5/16/2025_x000a_Modified by Annista Wijayanayake on 5/16/2025">
      <inputCells r="H5" val="80" numFmtId="167"/>
    </scenario>
    <scenario name="Base case" locked="1" count="1" user="Annista Wijayanayake" comment="Created by Annista Wijayanayake on 5/16/2025_x000a_Modified by Annista Wijayanayake on 5/16/2025">
      <inputCells r="H5" val="90" numFmtId="167"/>
    </scenario>
    <scenario name="Worst case" locked="1" count="1" user="Annista Wijayanayake" comment="Created by Annista Wijayanayake on 5/16/2025_x000a_Modified by Annista Wijayanayake on 5/16/2025">
      <inputCells r="H5" val="100" numFmtId="167"/>
    </scenario>
  </scenarios>
  <dataValidations count="1">
    <dataValidation type="list" allowBlank="1" showInputMessage="1" showErrorMessage="1" sqref="H10" xr:uid="{00000000-0002-0000-0600-000000000000}">
      <formula1>"$249, $299"</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3734-8B93-4E6A-BFA3-02146EC722FA}">
  <sheetPr>
    <tabColor rgb="FF00B050"/>
  </sheetPr>
  <dimension ref="A1:K27"/>
  <sheetViews>
    <sheetView showGridLines="0" zoomScaleNormal="100" workbookViewId="0">
      <selection activeCell="H6" sqref="H6"/>
    </sheetView>
  </sheetViews>
  <sheetFormatPr defaultRowHeight="15" x14ac:dyDescent="0.25"/>
  <cols>
    <col min="1" max="1" width="4.5703125" customWidth="1"/>
    <col min="2" max="2" width="32" customWidth="1"/>
    <col min="3" max="3" width="13" customWidth="1"/>
    <col min="4" max="4" width="4.5703125" customWidth="1"/>
    <col min="5" max="5" width="3" customWidth="1"/>
    <col min="6" max="6" width="4.5703125" customWidth="1"/>
    <col min="7" max="7" width="26.42578125" bestFit="1" customWidth="1"/>
    <col min="9" max="9" width="21.28515625" customWidth="1"/>
    <col min="10" max="10" width="4.5703125" customWidth="1"/>
  </cols>
  <sheetData>
    <row r="1" spans="1:11" ht="15.75" x14ac:dyDescent="0.25">
      <c r="A1" s="1"/>
      <c r="B1" s="1"/>
      <c r="C1" s="1"/>
      <c r="D1" s="1"/>
      <c r="E1" s="1"/>
      <c r="F1" s="1"/>
      <c r="G1" s="1"/>
      <c r="H1" s="1"/>
      <c r="I1" s="1"/>
      <c r="J1" s="1"/>
    </row>
    <row r="2" spans="1:11" ht="18.600000000000001" customHeight="1" x14ac:dyDescent="0.3">
      <c r="A2" s="1"/>
      <c r="B2" s="2" t="s">
        <v>1</v>
      </c>
      <c r="C2" s="3"/>
      <c r="D2" s="3"/>
      <c r="E2" s="4"/>
      <c r="F2" s="3"/>
      <c r="G2" s="5" t="s">
        <v>2</v>
      </c>
      <c r="H2" s="1"/>
      <c r="I2" s="1"/>
      <c r="J2" s="1"/>
    </row>
    <row r="3" spans="1:11" ht="15.6" customHeight="1" x14ac:dyDescent="0.25">
      <c r="A3" s="1"/>
      <c r="B3" s="1"/>
      <c r="C3" s="1"/>
      <c r="D3" s="1"/>
      <c r="E3" s="6"/>
      <c r="F3" s="1"/>
      <c r="G3" s="7" t="s">
        <v>3</v>
      </c>
      <c r="H3" s="8"/>
      <c r="I3" s="1"/>
      <c r="J3" s="1"/>
    </row>
    <row r="4" spans="1:11" ht="18.75" x14ac:dyDescent="0.25">
      <c r="A4" s="1"/>
      <c r="B4" s="9" t="s">
        <v>62</v>
      </c>
      <c r="C4" s="43">
        <f>H10-H4-H5</f>
        <v>176</v>
      </c>
      <c r="D4" s="1"/>
      <c r="E4" s="6"/>
      <c r="F4" s="1"/>
      <c r="G4" s="10" t="s">
        <v>4</v>
      </c>
      <c r="H4" s="11">
        <v>43</v>
      </c>
      <c r="I4" s="52" t="s">
        <v>35</v>
      </c>
      <c r="J4" s="29"/>
    </row>
    <row r="5" spans="1:11" ht="15.6" customHeight="1" x14ac:dyDescent="0.25">
      <c r="A5" s="1"/>
      <c r="B5" s="12"/>
      <c r="C5" s="1"/>
      <c r="D5" s="1"/>
      <c r="E5" s="6"/>
      <c r="F5" s="1"/>
      <c r="G5" s="10" t="s">
        <v>5</v>
      </c>
      <c r="H5" s="11">
        <v>80</v>
      </c>
      <c r="I5" s="52" t="s">
        <v>35</v>
      </c>
      <c r="J5" s="30"/>
    </row>
    <row r="6" spans="1:11" ht="18.75" x14ac:dyDescent="0.25">
      <c r="A6" s="1"/>
      <c r="B6" s="13" t="s">
        <v>61</v>
      </c>
      <c r="C6" s="14">
        <f>(C4*H6-(H14+H15)*1000000)</f>
        <v>2872000</v>
      </c>
      <c r="D6" s="1"/>
      <c r="E6" s="6"/>
      <c r="F6" s="1"/>
      <c r="G6" s="10" t="s">
        <v>6</v>
      </c>
      <c r="H6" s="27">
        <f>IF(Selling_price_per_unit=249,30000,22000)</f>
        <v>22000</v>
      </c>
      <c r="I6" s="52" t="s">
        <v>35</v>
      </c>
      <c r="J6" s="30"/>
      <c r="K6" s="38"/>
    </row>
    <row r="7" spans="1:11" ht="15.75" x14ac:dyDescent="0.25">
      <c r="A7" s="1"/>
      <c r="B7" s="1"/>
      <c r="C7" s="1"/>
      <c r="D7" s="1"/>
      <c r="E7" s="6"/>
      <c r="F7" s="1"/>
      <c r="G7" s="1"/>
      <c r="H7" s="1"/>
      <c r="I7" s="1"/>
      <c r="J7" s="1"/>
    </row>
    <row r="8" spans="1:11" ht="15.75" x14ac:dyDescent="0.25">
      <c r="A8" s="1"/>
      <c r="B8" s="1"/>
      <c r="C8" s="1"/>
      <c r="D8" s="1"/>
      <c r="E8" s="6"/>
      <c r="F8" s="1"/>
      <c r="G8" s="8"/>
      <c r="H8" s="8"/>
      <c r="I8" s="1"/>
      <c r="J8" s="1"/>
    </row>
    <row r="9" spans="1:11" ht="15.75" x14ac:dyDescent="0.25">
      <c r="A9" s="1"/>
      <c r="B9" s="1"/>
      <c r="C9" s="1"/>
      <c r="D9" s="1"/>
      <c r="E9" s="6"/>
      <c r="F9" s="1"/>
      <c r="G9" s="7" t="s">
        <v>7</v>
      </c>
      <c r="H9" s="8"/>
      <c r="I9" s="1"/>
      <c r="J9" s="1"/>
    </row>
    <row r="10" spans="1:11" ht="15.75" x14ac:dyDescent="0.25">
      <c r="A10" s="1"/>
      <c r="B10" s="1"/>
      <c r="C10" s="1"/>
      <c r="D10" s="1"/>
      <c r="E10" s="6"/>
      <c r="F10" s="1"/>
      <c r="G10" s="15" t="s">
        <v>63</v>
      </c>
      <c r="H10" s="16">
        <v>299</v>
      </c>
      <c r="I10" s="1"/>
      <c r="J10" s="8"/>
    </row>
    <row r="11" spans="1:11" ht="15.75" x14ac:dyDescent="0.25">
      <c r="A11" s="1"/>
      <c r="B11" s="1"/>
      <c r="C11" s="1"/>
      <c r="D11" s="1"/>
      <c r="E11" s="6"/>
      <c r="F11" s="1"/>
      <c r="G11" s="1"/>
      <c r="H11" s="1"/>
      <c r="I11" s="1"/>
      <c r="J11" s="1"/>
    </row>
    <row r="12" spans="1:11" ht="15.75" x14ac:dyDescent="0.25">
      <c r="A12" s="1"/>
      <c r="B12" s="1"/>
      <c r="C12" s="1"/>
      <c r="D12" s="1"/>
      <c r="E12" s="6"/>
      <c r="F12" s="1"/>
      <c r="G12" s="1"/>
      <c r="H12" s="1"/>
      <c r="I12" s="1"/>
      <c r="J12" s="1"/>
    </row>
    <row r="13" spans="1:11" ht="15.75" x14ac:dyDescent="0.25">
      <c r="A13" s="1"/>
      <c r="B13" s="1"/>
      <c r="C13" s="1"/>
      <c r="D13" s="1"/>
      <c r="E13" s="6"/>
      <c r="F13" s="1"/>
      <c r="G13" s="7" t="s">
        <v>8</v>
      </c>
      <c r="H13" s="8"/>
      <c r="I13" s="1"/>
      <c r="J13" s="1"/>
    </row>
    <row r="14" spans="1:11" ht="15.75" x14ac:dyDescent="0.25">
      <c r="A14" s="1"/>
      <c r="B14" s="8"/>
      <c r="C14" s="8"/>
      <c r="D14" s="1"/>
      <c r="E14" s="6"/>
      <c r="F14" s="1"/>
      <c r="G14" s="17" t="s">
        <v>48</v>
      </c>
      <c r="H14" s="34">
        <v>0.35</v>
      </c>
      <c r="I14" s="1"/>
      <c r="J14" s="1"/>
    </row>
    <row r="15" spans="1:11" ht="15.75" x14ac:dyDescent="0.25">
      <c r="A15" s="1"/>
      <c r="B15" s="1"/>
      <c r="C15" s="1"/>
      <c r="D15" s="1"/>
      <c r="E15" s="6"/>
      <c r="F15" s="1"/>
      <c r="G15" s="17" t="s">
        <v>49</v>
      </c>
      <c r="H15" s="34">
        <v>0.65</v>
      </c>
      <c r="I15" s="1"/>
      <c r="J15" s="1"/>
    </row>
    <row r="16" spans="1:11" ht="15.75" x14ac:dyDescent="0.25">
      <c r="A16" s="1"/>
      <c r="B16" s="1"/>
      <c r="C16" s="1"/>
      <c r="D16" s="1"/>
      <c r="E16" s="6"/>
      <c r="F16" s="1"/>
      <c r="I16" s="1"/>
      <c r="J16" s="1"/>
    </row>
    <row r="17" spans="1:10" ht="15.75" x14ac:dyDescent="0.25">
      <c r="A17" s="1"/>
      <c r="B17" s="1"/>
      <c r="C17" s="1"/>
      <c r="D17" s="1"/>
      <c r="E17" s="6"/>
      <c r="F17" s="1"/>
      <c r="G17" s="31"/>
      <c r="H17" s="31"/>
      <c r="I17" s="31"/>
      <c r="J17" s="1"/>
    </row>
    <row r="18" spans="1:10" ht="15.75" x14ac:dyDescent="0.25">
      <c r="E18" s="6"/>
      <c r="G18" s="31"/>
      <c r="H18" s="31"/>
      <c r="I18" s="31"/>
      <c r="J18" s="1"/>
    </row>
    <row r="19" spans="1:10" ht="15.6" customHeight="1" x14ac:dyDescent="0.25">
      <c r="E19" s="6"/>
      <c r="J19" s="28"/>
    </row>
    <row r="20" spans="1:10" ht="15.75" x14ac:dyDescent="0.25">
      <c r="E20" s="6"/>
      <c r="J20" s="28"/>
    </row>
    <row r="21" spans="1:10" ht="15.75" x14ac:dyDescent="0.25">
      <c r="E21" s="6"/>
      <c r="I21" s="1"/>
      <c r="J21" s="1"/>
    </row>
    <row r="22" spans="1:10" ht="15.75" x14ac:dyDescent="0.25">
      <c r="E22" s="6"/>
      <c r="I22" s="1"/>
    </row>
    <row r="23" spans="1:10" ht="15.75" x14ac:dyDescent="0.25">
      <c r="E23" s="6"/>
    </row>
    <row r="24" spans="1:10" ht="14.65" customHeight="1" x14ac:dyDescent="0.25">
      <c r="E24" s="6"/>
    </row>
    <row r="25" spans="1:10" ht="14.65" customHeight="1" x14ac:dyDescent="0.25">
      <c r="E25" s="6"/>
    </row>
    <row r="26" spans="1:10" ht="15.75" x14ac:dyDescent="0.25">
      <c r="E26" s="6"/>
    </row>
    <row r="27" spans="1:10" ht="15.75" x14ac:dyDescent="0.25">
      <c r="E27" s="6"/>
    </row>
  </sheetData>
  <scenarios current="2" sqref="C6">
    <scenario name="Best case" locked="1" count="1" user="dstewart">
      <inputCells r="H6" val="30000"/>
    </scenario>
    <scenario name="Base case" locked="1" count="1" user="dstewart">
      <inputCells r="H6" val="15000" numFmtId="1"/>
    </scenario>
    <scenario name="Worst case" locked="1" count="1" user="dstewart">
      <inputCells r="H6" val="0" numFmtId="1"/>
    </scenario>
  </scenarios>
  <dataValidations count="2">
    <dataValidation type="list" allowBlank="1" showInputMessage="1" showErrorMessage="1" sqref="H10" xr:uid="{B0E18D1D-5B47-49A6-AF42-1539213BE336}">
      <formula1>"$249,$299"</formula1>
    </dataValidation>
    <dataValidation type="list" allowBlank="1" showInputMessage="1" showErrorMessage="1" sqref="P12" xr:uid="{BF03520F-D411-49B3-A65F-D6A74D96C8E4}">
      <formula1>$N$6:$N$7</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Answers</vt:lpstr>
      <vt:lpstr>Manager Page &amp; conceptual model</vt:lpstr>
      <vt:lpstr>Scenario Summary</vt:lpstr>
      <vt:lpstr>Scenario Analysis-Direct labour</vt:lpstr>
      <vt:lpstr>Scenario Analysi-cost perpart</vt:lpstr>
      <vt:lpstr>Scenario Analysis -Demand</vt:lpstr>
      <vt:lpstr>summary of Scenrio analysis</vt:lpstr>
      <vt:lpstr>Model</vt:lpstr>
      <vt:lpstr>Best case model</vt:lpstr>
      <vt:lpstr>'Best case model'!Contribution_margin_per_unit</vt:lpstr>
      <vt:lpstr>Contribution_margin_per_unit</vt:lpstr>
      <vt:lpstr>'Best case model'!Cost_of_parts_per_unit</vt:lpstr>
      <vt:lpstr>Cost_of_parts_per_unit</vt:lpstr>
      <vt:lpstr>'Best case model'!Demand</vt:lpstr>
      <vt:lpstr>Demand</vt:lpstr>
      <vt:lpstr>'Best case model'!Direct_labour_cost_per_unit</vt:lpstr>
      <vt:lpstr>Direct_labour_cost_per_unit</vt:lpstr>
      <vt:lpstr>'Best case model'!First_year_profit</vt:lpstr>
      <vt:lpstr>First_year_profit</vt:lpstr>
      <vt:lpstr>'Best case model'!Selling_price_per_unit</vt:lpstr>
      <vt:lpstr>Selling_price_per_unit</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Annista</dc:creator>
  <cp:lastModifiedBy>Annista Wijayanayake</cp:lastModifiedBy>
  <dcterms:created xsi:type="dcterms:W3CDTF">2020-03-30T06:11:12Z</dcterms:created>
  <dcterms:modified xsi:type="dcterms:W3CDTF">2025-05-16T09:03:18Z</dcterms:modified>
</cp:coreProperties>
</file>