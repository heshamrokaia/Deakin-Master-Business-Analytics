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8-Simulation Modelling/"/>
    </mc:Choice>
  </mc:AlternateContent>
  <xr:revisionPtr revIDLastSave="154" documentId="8_{B9C2E49F-8852-4E33-87FA-06F28CE97EA9}" xr6:coauthVersionLast="47" xr6:coauthVersionMax="47" xr10:uidLastSave="{5E552B50-B303-4C0D-82D6-D62F829AC938}"/>
  <bookViews>
    <workbookView xWindow="-120" yWindow="-120" windowWidth="51840" windowHeight="21120" tabRatio="795" activeTab="5" xr2:uid="{00000000-000D-0000-FFFF-FFFF00000000}"/>
  </bookViews>
  <sheets>
    <sheet name="1. Instructions" sheetId="10" r:id="rId1"/>
    <sheet name="2.Manager Page" sheetId="11" r:id="rId2"/>
    <sheet name="3.Conceptual Model" sheetId="2" r:id="rId3"/>
    <sheet name="4. Vlooup function" sheetId="13" r:id="rId4"/>
    <sheet name="5.Distributions" sheetId="12" r:id="rId5"/>
    <sheet name="6. Model" sheetId="1" r:id="rId6"/>
  </sheets>
  <externalReferences>
    <externalReference r:id="rId7"/>
    <externalReference r:id="rId8"/>
  </externalReferences>
  <definedNames>
    <definedName name="Contribution_margin_per_unit">'6. Model'!$C$4</definedName>
    <definedName name="Cost_of_parts_per_unit">'6. Model'!$H$5</definedName>
    <definedName name="Demand">'6. Model'!$H$6</definedName>
    <definedName name="Direct_labour_cost_per_unit">'6. Model'!$H$4</definedName>
    <definedName name="First_year_profit">'6. Model'!$C$6</definedName>
    <definedName name="mu">'[1]fit Beta Dist'!$G$11</definedName>
    <definedName name="Selling_price_per_unit" localSheetId="0">'[2]6.Model'!$H$9</definedName>
    <definedName name="Selling_price_per_unit" localSheetId="1">'[2]6.Model'!$H$9</definedName>
    <definedName name="Selling_price_per_unit" localSheetId="3">'[2]6.Model'!$H$9</definedName>
    <definedName name="Selling_price_per_unit" localSheetId="4">'[2]6.Model'!$H$9</definedName>
    <definedName name="Selling_price_per_unit">'6. Model'!$H$10</definedName>
    <definedName name="solver_adj" localSheetId="5" hidden="1">'6. Model'!$H$10</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'6. Model'!$C$6</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 name="var">'[1]fit Beta Dist'!$G$12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 r="H6" i="1"/>
  <c r="H5" i="1"/>
  <c r="N23" i="13"/>
  <c r="O23" i="13" s="1"/>
  <c r="N24" i="13"/>
  <c r="O24" i="13" s="1"/>
  <c r="N20" i="13"/>
  <c r="O20" i="13" s="1"/>
  <c r="N21" i="13"/>
  <c r="O21" i="13" s="1"/>
  <c r="N22" i="13"/>
  <c r="O22" i="13" s="1"/>
  <c r="N19" i="13"/>
  <c r="O19" i="13" s="1"/>
  <c r="N18" i="13"/>
  <c r="O18" i="13" s="1"/>
  <c r="D17" i="12"/>
  <c r="E17" i="12" s="1"/>
  <c r="Y15" i="12"/>
  <c r="Z15" i="12" s="1"/>
  <c r="Y14" i="12"/>
  <c r="Z14" i="12" s="1"/>
  <c r="M13" i="12"/>
  <c r="N13" i="12" s="1"/>
  <c r="H13" i="12"/>
  <c r="H12" i="12"/>
  <c r="H11" i="12"/>
  <c r="H10" i="12"/>
  <c r="H9" i="12"/>
  <c r="C4" i="1" l="1"/>
  <c r="C6" i="1" s="1"/>
</calcChain>
</file>

<file path=xl/sharedStrings.xml><?xml version="1.0" encoding="utf-8"?>
<sst xmlns="http://schemas.openxmlformats.org/spreadsheetml/2006/main" count="104" uniqueCount="83">
  <si>
    <t>Profit</t>
  </si>
  <si>
    <t>COMPUTED VALUES AND OUTPUT</t>
  </si>
  <si>
    <t>INPUTS</t>
  </si>
  <si>
    <t>Stochastic inputs</t>
  </si>
  <si>
    <t>Direct labour cost per unit</t>
  </si>
  <si>
    <t>Cost of parts per unit</t>
  </si>
  <si>
    <t>Demand</t>
  </si>
  <si>
    <t>Decision variables</t>
  </si>
  <si>
    <t>Fixed inputs</t>
  </si>
  <si>
    <t>Key output</t>
  </si>
  <si>
    <t>Key inputs</t>
  </si>
  <si>
    <t>Management decision variable</t>
  </si>
  <si>
    <t xml:space="preserve">Selling price per unit </t>
  </si>
  <si>
    <t>Uncertain inputs subject to random variation</t>
  </si>
  <si>
    <t>Cost of direct labour</t>
  </si>
  <si>
    <t>Cost of parts</t>
  </si>
  <si>
    <t>Tasks</t>
  </si>
  <si>
    <t>Cost</t>
  </si>
  <si>
    <t>Probability</t>
  </si>
  <si>
    <t xml:space="preserve">Cumulative </t>
  </si>
  <si>
    <t>probability</t>
  </si>
  <si>
    <t>Uniform</t>
  </si>
  <si>
    <t>Upper</t>
  </si>
  <si>
    <t>Lower</t>
  </si>
  <si>
    <t>limit</t>
  </si>
  <si>
    <t>Mean</t>
  </si>
  <si>
    <t>Standard</t>
  </si>
  <si>
    <t>deviation</t>
  </si>
  <si>
    <t>Random number range</t>
  </si>
  <si>
    <t>Uniform distribution</t>
  </si>
  <si>
    <t>Price $249</t>
  </si>
  <si>
    <t>Price $299</t>
  </si>
  <si>
    <t>PROBABILITY DISTRIBUTIONS</t>
  </si>
  <si>
    <t>Normal distribution*</t>
  </si>
  <si>
    <t>Notes:</t>
  </si>
  <si>
    <t>*Should be a non-negative integer. Can do this by using ROUND built-in formula, but this complication is unnecessary for decision making</t>
  </si>
  <si>
    <t xml:space="preserve">Administrative costs </t>
  </si>
  <si>
    <t xml:space="preserve">Advertising costs </t>
  </si>
  <si>
    <t xml:space="preserve">When you've finished, review your workings against the Distributions and Model worksheets in the Solutions spreadsheet. </t>
  </si>
  <si>
    <r>
      <t>Cost of parts per unit</t>
    </r>
    <r>
      <rPr>
        <b/>
        <sz val="14"/>
        <color theme="1"/>
        <rFont val="Calibri"/>
        <family val="2"/>
        <scheme val="minor"/>
      </rPr>
      <t>: Uniform</t>
    </r>
  </si>
  <si>
    <r>
      <t>Demand</t>
    </r>
    <r>
      <rPr>
        <b/>
        <sz val="14"/>
        <color theme="1"/>
        <rFont val="Calibri"/>
        <family val="2"/>
        <scheme val="minor"/>
      </rPr>
      <t>: Normal</t>
    </r>
  </si>
  <si>
    <t>Contribution margin per unit</t>
  </si>
  <si>
    <t>First-year profit</t>
  </si>
  <si>
    <t>Selling price per unit</t>
  </si>
  <si>
    <t>Administrative costs ($M)</t>
  </si>
  <si>
    <t>Advertising costs ($M)</t>
  </si>
  <si>
    <t>The purpose of this seminar is update the Model worksheet by including distributions for the stochastic inputs. The distributions are given in the Topic 8 lecture slides. In the process, you should familiarise yourself with the Topic 8 spreadsheet: Generating random numbers.</t>
  </si>
  <si>
    <t>Emperical  Distribution</t>
  </si>
  <si>
    <t>Uniform  Distribution</t>
  </si>
  <si>
    <t>Normal  Distribution</t>
  </si>
  <si>
    <t>Given distribution (emperical distribution)</t>
  </si>
  <si>
    <t>Given distribution (Emperical distribution)</t>
  </si>
  <si>
    <t>Demand when price $249</t>
  </si>
  <si>
    <t>Demand when price $299</t>
  </si>
  <si>
    <t xml:space="preserve">Key points: </t>
  </si>
  <si>
    <t>By suitably transforming a uniformly distributed random number between 0 and 1, we can generate random samples from any specified distribution.</t>
  </si>
  <si>
    <t>This is why RAND() plays a central role in all Excel expressions for generating random numbers</t>
  </si>
  <si>
    <t>Learn the Vlookup function and its applications</t>
  </si>
  <si>
    <t>1. Learn the Vlookup function (worksheet 4)</t>
  </si>
  <si>
    <t>2. Complete the 5.Distributions worksheet. (complete all "?" cells). Check the generated random number and the relevant value for the accuracy</t>
  </si>
  <si>
    <t>3. Complete the 6. Model worksheet.(practice again)</t>
  </si>
  <si>
    <t>4. Check to see that the random output and stochastic inputs are updated when function key F9 is pressed.</t>
  </si>
  <si>
    <t>USING THE VLOOKUP FUNCTION</t>
  </si>
  <si>
    <t>When we want to generate numbers from an empirical distribution we start with the frequency distribution. E.g. let us assume that the labour costs change on daily basis and taken a sample of the last 50 days labour costs and given in the following table</t>
  </si>
  <si>
    <t>frequency (days)</t>
  </si>
  <si>
    <t>Lower Limit</t>
  </si>
  <si>
    <t>Upper Limit</t>
  </si>
  <si>
    <t>This is our empirical distribution. We would like to be able to generate random numbers from this distribution.</t>
  </si>
  <si>
    <t>The way we do this is to first create the cumulative distribution</t>
  </si>
  <si>
    <t>cumulative probability</t>
  </si>
  <si>
    <t>Sub-intervals*</t>
  </si>
  <si>
    <t>Probability /rand ()</t>
  </si>
  <si>
    <t>labour cost</t>
  </si>
  <si>
    <t>0.0-0.1</t>
  </si>
  <si>
    <t>0.1-0.3</t>
  </si>
  <si>
    <t>0.3-0.7</t>
  </si>
  <si>
    <t>0.7-0.9</t>
  </si>
  <si>
    <t>0.9-1.0</t>
  </si>
  <si>
    <t>We match the random number generated by Excel using RAND() to the cumulative probability, and then trace it back to the demand. E.g. suppose RAND() produces the random number 0.5628, then this produces the random demand of 400, as shown in the graph.</t>
  </si>
  <si>
    <t>This is conceptually how we generate random numbers for any empirical distribution. What remains is to explain how this is done in Excel.</t>
  </si>
  <si>
    <t>The function we use is VLOOKUP. This requires four inputs:</t>
  </si>
  <si>
    <t>VLOOKUP(Value, Data range, Column number, logical)</t>
  </si>
  <si>
    <t>To start with we need a table like the cumulative distribution table above, but we are going to make two changes. First we switch the order of the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</si>
</sst>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quot;$&quot;#,##0.00"/>
    <numFmt numFmtId="165" formatCode="&quot;$&quot;#,##0"/>
  </numFmts>
  <fonts count="37" x14ac:knownFonts="1">
    <font>
      <sz val="11"/>
      <color theme="1"/>
      <name val="Calibri"/>
      <family val="2"/>
      <scheme val="minor"/>
    </font>
    <font>
      <sz val="11"/>
      <color theme="1"/>
      <name val="Calibri"/>
      <family val="2"/>
      <scheme val="minor"/>
    </font>
    <font>
      <sz val="12"/>
      <color theme="1"/>
      <name val="Times New Roman"/>
      <family val="1"/>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b/>
      <sz val="18"/>
      <color theme="1"/>
      <name val="Calibri"/>
      <family val="2"/>
      <scheme val="minor"/>
    </font>
    <font>
      <sz val="10"/>
      <name val="Arial"/>
      <family val="2"/>
    </font>
    <font>
      <sz val="12"/>
      <name val="Calibri"/>
      <family val="2"/>
      <scheme val="minor"/>
    </font>
    <font>
      <b/>
      <u/>
      <sz val="12"/>
      <color theme="1"/>
      <name val="Calibri"/>
      <family val="2"/>
      <scheme val="minor"/>
    </font>
    <font>
      <b/>
      <u/>
      <sz val="12"/>
      <name val="Calibri"/>
      <family val="2"/>
      <scheme val="minor"/>
    </font>
    <font>
      <b/>
      <u/>
      <sz val="14"/>
      <color theme="1"/>
      <name val="Calibri"/>
      <family val="2"/>
      <scheme val="minor"/>
    </font>
    <font>
      <b/>
      <u/>
      <sz val="14"/>
      <name val="Calibri"/>
      <family val="2"/>
      <scheme val="minor"/>
    </font>
    <font>
      <b/>
      <sz val="18"/>
      <color rgb="FF0070C0"/>
      <name val="Calibri"/>
      <family val="2"/>
      <scheme val="minor"/>
    </font>
    <font>
      <sz val="18"/>
      <color rgb="FF0070C0"/>
      <name val="Calibri"/>
      <family val="2"/>
      <scheme val="minor"/>
    </font>
    <font>
      <sz val="18"/>
      <color theme="1"/>
      <name val="Calibri"/>
      <family val="2"/>
      <scheme val="minor"/>
    </font>
    <font>
      <b/>
      <sz val="18"/>
      <name val="Calibri"/>
      <family val="2"/>
      <scheme val="minor"/>
    </font>
    <font>
      <b/>
      <sz val="14"/>
      <name val="Calibri"/>
      <family val="2"/>
      <scheme val="minor"/>
    </font>
    <font>
      <i/>
      <sz val="14"/>
      <color theme="1"/>
      <name val="Calibri"/>
      <family val="2"/>
      <scheme val="minor"/>
    </font>
    <font>
      <b/>
      <sz val="16"/>
      <color theme="1"/>
      <name val="Calibri"/>
      <family val="2"/>
      <scheme val="minor"/>
    </font>
    <font>
      <sz val="14"/>
      <color rgb="FF0070C0"/>
      <name val="Calibri"/>
      <family val="2"/>
      <scheme val="minor"/>
    </font>
    <font>
      <sz val="12"/>
      <color theme="8" tint="-0.249977111117893"/>
      <name val="Calibri"/>
      <family val="2"/>
      <scheme val="minor"/>
    </font>
    <font>
      <b/>
      <sz val="16"/>
      <color theme="8" tint="-0.249977111117893"/>
      <name val="Calibri"/>
      <family val="2"/>
      <scheme val="minor"/>
    </font>
    <font>
      <sz val="14"/>
      <name val="Calibri"/>
      <family val="2"/>
      <scheme val="minor"/>
    </font>
    <font>
      <b/>
      <sz val="14"/>
      <color theme="8" tint="-0.249977111117893"/>
      <name val="Calibri"/>
      <family val="2"/>
      <scheme val="minor"/>
    </font>
    <font>
      <sz val="16"/>
      <color theme="1"/>
      <name val="Calibri"/>
      <family val="2"/>
      <scheme val="minor"/>
    </font>
    <font>
      <sz val="18"/>
      <name val="Calibri"/>
      <family val="2"/>
      <scheme val="minor"/>
    </font>
    <font>
      <b/>
      <sz val="18"/>
      <color rgb="FFFFFFFF"/>
      <name val="Calibri"/>
      <family val="2"/>
    </font>
    <font>
      <sz val="18"/>
      <color rgb="FF373636"/>
      <name val="Calibri"/>
      <family val="2"/>
    </font>
    <font>
      <sz val="18"/>
      <name val="Arial"/>
      <family val="2"/>
    </font>
    <font>
      <b/>
      <sz val="18"/>
      <color rgb="FF373636"/>
      <name val="Calibri"/>
      <family val="2"/>
    </font>
    <font>
      <sz val="16"/>
      <name val="Calibri"/>
      <family val="2"/>
      <scheme val="minor"/>
    </font>
    <font>
      <b/>
      <sz val="14"/>
      <color theme="1"/>
      <name val="Times New Roman"/>
      <family val="1"/>
    </font>
    <font>
      <b/>
      <sz val="16"/>
      <color theme="1"/>
      <name val="Times New Roman"/>
      <family val="1"/>
    </font>
    <font>
      <b/>
      <sz val="16"/>
      <color theme="0"/>
      <name val="Calibri"/>
      <family val="2"/>
      <scheme val="minor"/>
    </font>
    <font>
      <b/>
      <i/>
      <sz val="16"/>
      <color theme="1"/>
      <name val="Calibri"/>
      <family val="2"/>
      <scheme val="minor"/>
    </font>
  </fonts>
  <fills count="19">
    <fill>
      <patternFill patternType="none"/>
    </fill>
    <fill>
      <patternFill patternType="gray125"/>
    </fill>
    <fill>
      <patternFill patternType="solid">
        <fgColor rgb="FFFFFFCC"/>
      </patternFill>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CC"/>
        <bgColor indexed="64"/>
      </patternFill>
    </fill>
    <fill>
      <patternFill patternType="solid">
        <fgColor theme="0" tint="-0.499984740745262"/>
        <bgColor indexed="64"/>
      </patternFill>
    </fill>
    <fill>
      <patternFill patternType="solid">
        <fgColor rgb="FFCCCCFF"/>
        <bgColor indexed="64"/>
      </patternFill>
    </fill>
    <fill>
      <patternFill patternType="solid">
        <fgColor rgb="FF007D9B"/>
        <bgColor indexed="64"/>
      </patternFill>
    </fill>
    <fill>
      <patternFill patternType="solid">
        <fgColor rgb="FFCBD7DE"/>
        <bgColor indexed="64"/>
      </patternFill>
    </fill>
    <fill>
      <patternFill patternType="solid">
        <fgColor rgb="FFE7ECEF"/>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theme="0"/>
      </right>
      <top style="thin">
        <color indexed="64"/>
      </top>
      <bottom/>
      <diagonal/>
    </border>
    <border>
      <left style="thin">
        <color indexed="64"/>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8" fillId="0" borderId="0"/>
  </cellStyleXfs>
  <cellXfs count="9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9" borderId="0" xfId="0" applyFont="1" applyFill="1"/>
    <xf numFmtId="0" fontId="9" fillId="0" borderId="0" xfId="5" applyFont="1" applyAlignment="1">
      <alignment horizontal="left" vertical="top" wrapText="1"/>
    </xf>
    <xf numFmtId="0" fontId="10" fillId="0" borderId="0" xfId="0" applyFont="1"/>
    <xf numFmtId="0" fontId="6" fillId="0" borderId="0" xfId="0" applyFont="1" applyAlignment="1">
      <alignment horizontal="center"/>
    </xf>
    <xf numFmtId="0" fontId="9" fillId="0" borderId="0" xfId="5" applyFont="1" applyAlignment="1">
      <alignment horizontal="center"/>
    </xf>
    <xf numFmtId="165" fontId="6" fillId="0" borderId="2" xfId="0" applyNumberFormat="1" applyFont="1" applyBorder="1" applyAlignment="1">
      <alignment horizontal="center"/>
    </xf>
    <xf numFmtId="0" fontId="6" fillId="0" borderId="2" xfId="0" applyFont="1" applyBorder="1" applyAlignment="1">
      <alignment horizontal="center"/>
    </xf>
    <xf numFmtId="0" fontId="11" fillId="0" borderId="0" xfId="5" applyFont="1" applyAlignment="1">
      <alignment horizontal="center"/>
    </xf>
    <xf numFmtId="0" fontId="12" fillId="0" borderId="0" xfId="0" applyFont="1"/>
    <xf numFmtId="0" fontId="13" fillId="0" borderId="0" xfId="5" applyFont="1"/>
    <xf numFmtId="0" fontId="14" fillId="0" borderId="0" xfId="0" applyFont="1"/>
    <xf numFmtId="0" fontId="15" fillId="0" borderId="0" xfId="0" applyFont="1"/>
    <xf numFmtId="0" fontId="16" fillId="0" borderId="0" xfId="0" applyFont="1"/>
    <xf numFmtId="0" fontId="7" fillId="0" borderId="0" xfId="0" applyFont="1"/>
    <xf numFmtId="0" fontId="16" fillId="11" borderId="0" xfId="0" applyFont="1" applyFill="1"/>
    <xf numFmtId="0" fontId="16" fillId="10" borderId="0" xfId="0" applyFont="1" applyFill="1"/>
    <xf numFmtId="0" fontId="17" fillId="0" borderId="0" xfId="0" applyFont="1"/>
    <xf numFmtId="0" fontId="18" fillId="9" borderId="0" xfId="0" applyFont="1" applyFill="1" applyAlignment="1">
      <alignment vertical="top" wrapText="1"/>
    </xf>
    <xf numFmtId="0" fontId="4" fillId="9" borderId="0" xfId="0" applyFont="1" applyFill="1"/>
    <xf numFmtId="0" fontId="19" fillId="0" borderId="0" xfId="0" applyFont="1" applyAlignment="1">
      <alignment vertical="top"/>
    </xf>
    <xf numFmtId="0" fontId="7" fillId="12" borderId="0" xfId="0" applyFont="1" applyFill="1"/>
    <xf numFmtId="0" fontId="20" fillId="0" borderId="0" xfId="0" applyFont="1"/>
    <xf numFmtId="0" fontId="20" fillId="2" borderId="7" xfId="4" applyFont="1" applyBorder="1" applyAlignment="1">
      <alignment horizontal="center" vertical="top" wrapText="1"/>
    </xf>
    <xf numFmtId="0" fontId="18" fillId="0" borderId="0" xfId="0" applyFont="1"/>
    <xf numFmtId="0" fontId="21" fillId="0" borderId="0" xfId="0" applyFont="1"/>
    <xf numFmtId="0" fontId="22" fillId="9" borderId="0" xfId="0" applyFont="1" applyFill="1" applyAlignment="1">
      <alignment horizontal="left"/>
    </xf>
    <xf numFmtId="165" fontId="23" fillId="9" borderId="0" xfId="3" applyNumberFormat="1" applyFont="1" applyFill="1" applyBorder="1" applyAlignment="1">
      <alignment horizontal="left"/>
    </xf>
    <xf numFmtId="0" fontId="18" fillId="4" borderId="0" xfId="0" applyFont="1" applyFill="1"/>
    <xf numFmtId="0" fontId="19" fillId="4" borderId="0" xfId="0" applyFont="1" applyFill="1" applyAlignment="1">
      <alignment vertical="top"/>
    </xf>
    <xf numFmtId="0" fontId="24" fillId="4" borderId="0" xfId="0" applyFont="1" applyFill="1"/>
    <xf numFmtId="0" fontId="4" fillId="4" borderId="0" xfId="0" applyFont="1" applyFill="1"/>
    <xf numFmtId="0" fontId="3" fillId="4" borderId="0" xfId="0" applyFont="1" applyFill="1"/>
    <xf numFmtId="0" fontId="25" fillId="9" borderId="0" xfId="0" applyFont="1" applyFill="1" applyAlignment="1">
      <alignment vertical="top" wrapText="1"/>
    </xf>
    <xf numFmtId="0" fontId="25" fillId="0" borderId="0" xfId="0" applyFont="1"/>
    <xf numFmtId="0" fontId="25" fillId="9" borderId="0" xfId="0" applyFont="1" applyFill="1"/>
    <xf numFmtId="165" fontId="20" fillId="5" borderId="2" xfId="3" applyNumberFormat="1" applyFont="1" applyFill="1" applyBorder="1"/>
    <xf numFmtId="0" fontId="6" fillId="14" borderId="0" xfId="0" applyFont="1" applyFill="1"/>
    <xf numFmtId="0" fontId="6" fillId="9" borderId="0" xfId="0" applyFont="1" applyFill="1"/>
    <xf numFmtId="0" fontId="4" fillId="14" borderId="0" xfId="0" applyFont="1" applyFill="1"/>
    <xf numFmtId="0" fontId="26" fillId="15" borderId="2" xfId="0" applyFont="1" applyFill="1" applyBorder="1" applyAlignment="1">
      <alignment horizontal="center"/>
    </xf>
    <xf numFmtId="4" fontId="20" fillId="5" borderId="2" xfId="3" applyNumberFormat="1" applyFont="1" applyFill="1" applyBorder="1" applyAlignment="1">
      <alignment horizontal="center"/>
    </xf>
    <xf numFmtId="0" fontId="20" fillId="14" borderId="0" xfId="0" applyFont="1" applyFill="1"/>
    <xf numFmtId="0" fontId="20" fillId="9" borderId="0" xfId="4" applyFont="1" applyFill="1" applyBorder="1" applyAlignment="1">
      <alignment horizontal="center" vertical="top" wrapText="1"/>
    </xf>
    <xf numFmtId="0" fontId="17" fillId="0" borderId="0" xfId="5" applyFont="1"/>
    <xf numFmtId="0" fontId="27" fillId="0" borderId="0" xfId="5" applyFont="1"/>
    <xf numFmtId="0" fontId="28" fillId="16" borderId="8" xfId="0" applyFont="1" applyFill="1" applyBorder="1" applyAlignment="1">
      <alignment horizontal="left" vertical="center" wrapText="1" readingOrder="1"/>
    </xf>
    <xf numFmtId="0" fontId="28" fillId="16" borderId="8" xfId="0" applyFont="1" applyFill="1" applyBorder="1" applyAlignment="1">
      <alignment horizontal="center" vertical="center" wrapText="1" readingOrder="1"/>
    </xf>
    <xf numFmtId="6" fontId="28" fillId="16" borderId="9" xfId="0" applyNumberFormat="1" applyFont="1" applyFill="1" applyBorder="1" applyAlignment="1">
      <alignment horizontal="center" vertical="center" wrapText="1" readingOrder="1"/>
    </xf>
    <xf numFmtId="0" fontId="29" fillId="17" borderId="9" xfId="0" applyFont="1" applyFill="1" applyBorder="1" applyAlignment="1">
      <alignment horizontal="center" vertical="center" wrapText="1" readingOrder="1"/>
    </xf>
    <xf numFmtId="6" fontId="28" fillId="16" borderId="10" xfId="0" applyNumberFormat="1" applyFont="1" applyFill="1" applyBorder="1" applyAlignment="1">
      <alignment horizontal="center" vertical="center" wrapText="1" readingOrder="1"/>
    </xf>
    <xf numFmtId="0" fontId="29" fillId="18" borderId="10" xfId="0" applyFont="1" applyFill="1" applyBorder="1" applyAlignment="1">
      <alignment horizontal="center" vertical="center" wrapText="1" readingOrder="1"/>
    </xf>
    <xf numFmtId="0" fontId="29" fillId="17" borderId="10" xfId="0" applyFont="1" applyFill="1" applyBorder="1" applyAlignment="1">
      <alignment horizontal="center" vertical="center" wrapText="1" readingOrder="1"/>
    </xf>
    <xf numFmtId="0" fontId="30" fillId="16" borderId="10" xfId="0" applyFont="1" applyFill="1" applyBorder="1" applyAlignment="1">
      <alignment wrapText="1"/>
    </xf>
    <xf numFmtId="0" fontId="31" fillId="18" borderId="10" xfId="0" applyFont="1" applyFill="1" applyBorder="1" applyAlignment="1">
      <alignment horizontal="center" vertical="center" wrapText="1" readingOrder="1"/>
    </xf>
    <xf numFmtId="0" fontId="9" fillId="0" borderId="0" xfId="5" applyFont="1"/>
    <xf numFmtId="0" fontId="26" fillId="0" borderId="0" xfId="0" applyFont="1"/>
    <xf numFmtId="0" fontId="30" fillId="18" borderId="10" xfId="0" applyFont="1" applyFill="1" applyBorder="1" applyAlignment="1">
      <alignment wrapText="1"/>
    </xf>
    <xf numFmtId="0" fontId="32" fillId="0" borderId="0" xfId="5" applyFont="1"/>
    <xf numFmtId="0" fontId="33" fillId="0" borderId="0" xfId="0" applyFont="1"/>
    <xf numFmtId="0" fontId="33" fillId="3" borderId="0" xfId="0" applyFont="1" applyFill="1"/>
    <xf numFmtId="0" fontId="26" fillId="0" borderId="2" xfId="0" applyFont="1" applyBorder="1"/>
    <xf numFmtId="2" fontId="26" fillId="0" borderId="2" xfId="0" applyNumberFormat="1" applyFont="1" applyBorder="1" applyAlignment="1">
      <alignment horizontal="center"/>
    </xf>
    <xf numFmtId="164" fontId="26" fillId="15" borderId="0" xfId="0" applyNumberFormat="1" applyFont="1" applyFill="1" applyAlignment="1">
      <alignment horizontal="center"/>
    </xf>
    <xf numFmtId="165" fontId="26" fillId="15" borderId="0" xfId="0" applyNumberFormat="1" applyFont="1" applyFill="1" applyAlignment="1">
      <alignment horizontal="center"/>
    </xf>
    <xf numFmtId="1" fontId="26" fillId="15" borderId="0" xfId="0" applyNumberFormat="1" applyFont="1" applyFill="1" applyAlignment="1">
      <alignment horizontal="center"/>
    </xf>
    <xf numFmtId="0" fontId="20" fillId="3" borderId="0" xfId="0" applyFont="1" applyFill="1"/>
    <xf numFmtId="0" fontId="20" fillId="0" borderId="0" xfId="0" applyFont="1" applyAlignment="1">
      <alignment horizontal="left"/>
    </xf>
    <xf numFmtId="0" fontId="34" fillId="0" borderId="0" xfId="0" applyFont="1"/>
    <xf numFmtId="0" fontId="34" fillId="3" borderId="0" xfId="0" applyFont="1" applyFill="1"/>
    <xf numFmtId="0" fontId="20" fillId="4" borderId="2" xfId="0" applyFont="1" applyFill="1" applyBorder="1" applyAlignment="1">
      <alignment wrapText="1"/>
    </xf>
    <xf numFmtId="165" fontId="20" fillId="4" borderId="2" xfId="0" applyNumberFormat="1" applyFont="1" applyFill="1" applyBorder="1"/>
    <xf numFmtId="0" fontId="20" fillId="5" borderId="2" xfId="0" applyFont="1" applyFill="1" applyBorder="1"/>
    <xf numFmtId="0" fontId="34" fillId="0" borderId="3" xfId="0" applyFont="1" applyBorder="1"/>
    <xf numFmtId="164" fontId="20" fillId="5" borderId="2" xfId="3" applyNumberFormat="1" applyFont="1" applyFill="1" applyBorder="1"/>
    <xf numFmtId="0" fontId="35" fillId="6" borderId="4" xfId="0" applyFont="1" applyFill="1" applyBorder="1" applyAlignment="1">
      <alignment vertical="center" wrapText="1"/>
    </xf>
    <xf numFmtId="165" fontId="35" fillId="6" borderId="5" xfId="0" applyNumberFormat="1" applyFont="1" applyFill="1" applyBorder="1" applyAlignment="1">
      <alignment vertical="center"/>
    </xf>
    <xf numFmtId="1" fontId="20" fillId="5" borderId="2" xfId="3" applyNumberFormat="1" applyFont="1" applyFill="1" applyBorder="1" applyAlignment="1">
      <alignment horizontal="right"/>
    </xf>
    <xf numFmtId="0" fontId="20" fillId="7" borderId="6" xfId="0" applyFont="1" applyFill="1" applyBorder="1"/>
    <xf numFmtId="165" fontId="20" fillId="7" borderId="2" xfId="1" applyNumberFormat="1" applyFont="1" applyFill="1" applyBorder="1"/>
    <xf numFmtId="0" fontId="20" fillId="8" borderId="6" xfId="0" applyFont="1" applyFill="1" applyBorder="1"/>
    <xf numFmtId="164" fontId="20" fillId="8" borderId="2" xfId="2" applyNumberFormat="1" applyFont="1" applyFill="1" applyBorder="1"/>
    <xf numFmtId="0" fontId="20" fillId="2" borderId="0" xfId="4" applyFont="1" applyBorder="1" applyAlignment="1"/>
    <xf numFmtId="0" fontId="20" fillId="2" borderId="0" xfId="4" applyFont="1" applyBorder="1" applyAlignment="1">
      <alignment wrapText="1"/>
    </xf>
    <xf numFmtId="0" fontId="18" fillId="4" borderId="0" xfId="0" applyFont="1" applyFill="1" applyAlignment="1">
      <alignment horizontal="left" vertical="top" wrapText="1"/>
    </xf>
    <xf numFmtId="0" fontId="18" fillId="9" borderId="0" xfId="0" applyFont="1" applyFill="1" applyAlignment="1">
      <alignment horizontal="left" vertical="top" wrapText="1"/>
    </xf>
    <xf numFmtId="0" fontId="25" fillId="9" borderId="0" xfId="0" applyFont="1" applyFill="1" applyAlignment="1">
      <alignment horizontal="left" vertical="top" wrapText="1"/>
    </xf>
    <xf numFmtId="0" fontId="27" fillId="0" borderId="0" xfId="5" applyFont="1" applyAlignment="1">
      <alignment horizontal="left" vertical="top" wrapText="1"/>
    </xf>
    <xf numFmtId="0" fontId="32" fillId="0" borderId="0" xfId="5" applyFont="1" applyAlignment="1">
      <alignment horizontal="left" vertical="top" wrapText="1"/>
    </xf>
    <xf numFmtId="0" fontId="20" fillId="2" borderId="7" xfId="4" applyFont="1" applyBorder="1" applyAlignment="1">
      <alignment horizontal="center" vertical="top" wrapText="1"/>
    </xf>
    <xf numFmtId="0" fontId="20" fillId="2" borderId="0" xfId="4" applyFont="1" applyBorder="1" applyAlignment="1">
      <alignment horizontal="center" vertical="top" wrapText="1"/>
    </xf>
    <xf numFmtId="0" fontId="20" fillId="13" borderId="7" xfId="4" applyFont="1" applyFill="1" applyBorder="1" applyAlignment="1">
      <alignment horizontal="left" vertical="top" wrapText="1"/>
    </xf>
    <xf numFmtId="0" fontId="20" fillId="13" borderId="0" xfId="4" applyFont="1" applyFill="1" applyBorder="1" applyAlignment="1">
      <alignment horizontal="left" vertical="top" wrapText="1"/>
    </xf>
    <xf numFmtId="0" fontId="36" fillId="0" borderId="0" xfId="0" applyFont="1" applyAlignment="1">
      <alignment horizontal="left" vertical="top" wrapText="1"/>
    </xf>
  </cellXfs>
  <cellStyles count="6">
    <cellStyle name="Comma" xfId="1" builtinId="3"/>
    <cellStyle name="Currency" xfId="2" builtinId="4"/>
    <cellStyle name="Normal" xfId="0" builtinId="0"/>
    <cellStyle name="Normal 3" xfId="5" xr:uid="{00000000-0005-0000-0000-000003000000}"/>
    <cellStyle name="Note" xfId="4" builtinId="10"/>
    <cellStyle name="Percent" xfId="3" builtinId="5"/>
  </cellStyles>
  <dxfs count="0"/>
  <tableStyles count="0" defaultTableStyle="TableStyleMedium2" defaultPivotStyle="PivotStyleLight16"/>
  <colors>
    <mruColors>
      <color rgb="FFCCCCFF"/>
      <color rgb="FF009999"/>
      <color rgb="FF006699"/>
      <color rgb="FFFF66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596899</xdr:colOff>
      <xdr:row>1</xdr:row>
      <xdr:rowOff>12699</xdr:rowOff>
    </xdr:from>
    <xdr:to>
      <xdr:col>21</xdr:col>
      <xdr:colOff>99162</xdr:colOff>
      <xdr:row>31</xdr:row>
      <xdr:rowOff>28574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27361" t="23951" r="11805" b="27284"/>
        <a:stretch/>
      </xdr:blipFill>
      <xdr:spPr>
        <a:xfrm>
          <a:off x="596899" y="203199"/>
          <a:ext cx="12303863" cy="5730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9</xdr:row>
      <xdr:rowOff>120650</xdr:rowOff>
    </xdr:from>
    <xdr:to>
      <xdr:col>4</xdr:col>
      <xdr:colOff>584200</xdr:colOff>
      <xdr:row>11</xdr:row>
      <xdr:rowOff>95250</xdr:rowOff>
    </xdr:to>
    <xdr:sp macro="" textlink="">
      <xdr:nvSpPr>
        <xdr:cNvPr id="2" name="Right Arrow 1">
          <a:extLst>
            <a:ext uri="{FF2B5EF4-FFF2-40B4-BE49-F238E27FC236}">
              <a16:creationId xmlns:a16="http://schemas.microsoft.com/office/drawing/2014/main" id="{7B114C73-7AF6-4AA8-A54C-34D45F4534E6}"/>
            </a:ext>
          </a:extLst>
        </xdr:cNvPr>
        <xdr:cNvSpPr/>
      </xdr:nvSpPr>
      <xdr:spPr>
        <a:xfrm>
          <a:off x="3743325" y="2159000"/>
          <a:ext cx="317500" cy="5080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22</xdr:col>
      <xdr:colOff>1019175</xdr:colOff>
      <xdr:row>16</xdr:row>
      <xdr:rowOff>95250</xdr:rowOff>
    </xdr:from>
    <xdr:ext cx="5353050" cy="890757"/>
    <xdr:sp macro="" textlink="">
      <xdr:nvSpPr>
        <xdr:cNvPr id="3" name="TextBox 2">
          <a:extLst>
            <a:ext uri="{FF2B5EF4-FFF2-40B4-BE49-F238E27FC236}">
              <a16:creationId xmlns:a16="http://schemas.microsoft.com/office/drawing/2014/main" id="{8F376518-8E25-47A0-AE09-B4B15D394947}"/>
            </a:ext>
          </a:extLst>
        </xdr:cNvPr>
        <xdr:cNvSpPr txBox="1"/>
      </xdr:nvSpPr>
      <xdr:spPr>
        <a:xfrm>
          <a:off x="20440650" y="3971925"/>
          <a:ext cx="5353050" cy="890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x = max(0, norm.inv(rand(),15000,4500)</a:t>
          </a:r>
          <a:endParaRPr lang="en-AU" sz="2000" b="1">
            <a:solidFill>
              <a:srgbClr val="009999"/>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x = max(0, norm.inv(rand(),11000,4500)</a:t>
          </a:r>
          <a:endParaRPr lang="en-AU" sz="2000" b="1">
            <a:solidFill>
              <a:srgbClr val="009999"/>
            </a:solidFill>
            <a:effectLst/>
          </a:endParaRPr>
        </a:p>
        <a:p>
          <a:endParaRPr lang="en-AU" sz="1100"/>
        </a:p>
      </xdr:txBody>
    </xdr:sp>
    <xdr:clientData/>
  </xdr:oneCellAnchor>
  <xdr:oneCellAnchor>
    <xdr:from>
      <xdr:col>2</xdr:col>
      <xdr:colOff>209550</xdr:colOff>
      <xdr:row>22</xdr:row>
      <xdr:rowOff>66675</xdr:rowOff>
    </xdr:from>
    <xdr:ext cx="184731" cy="264560"/>
    <xdr:sp macro="" textlink="">
      <xdr:nvSpPr>
        <xdr:cNvPr id="4" name="TextBox 3">
          <a:extLst>
            <a:ext uri="{FF2B5EF4-FFF2-40B4-BE49-F238E27FC236}">
              <a16:creationId xmlns:a16="http://schemas.microsoft.com/office/drawing/2014/main" id="{0E089E66-91D6-4345-9868-85185DFFF5D6}"/>
            </a:ext>
          </a:extLst>
        </xdr:cNvPr>
        <xdr:cNvSpPr txBox="1"/>
      </xdr:nvSpPr>
      <xdr:spPr>
        <a:xfrm>
          <a:off x="2257425" y="590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0</xdr:col>
      <xdr:colOff>285750</xdr:colOff>
      <xdr:row>17</xdr:row>
      <xdr:rowOff>228600</xdr:rowOff>
    </xdr:from>
    <xdr:ext cx="3308406" cy="405432"/>
    <xdr:sp macro="" textlink="">
      <xdr:nvSpPr>
        <xdr:cNvPr id="5" name="TextBox 4">
          <a:extLst>
            <a:ext uri="{FF2B5EF4-FFF2-40B4-BE49-F238E27FC236}">
              <a16:creationId xmlns:a16="http://schemas.microsoft.com/office/drawing/2014/main" id="{9DF1EF85-664C-425B-96B8-F44CC9FF567C}"/>
            </a:ext>
          </a:extLst>
        </xdr:cNvPr>
        <xdr:cNvSpPr txBox="1"/>
      </xdr:nvSpPr>
      <xdr:spPr>
        <a:xfrm>
          <a:off x="285750" y="4638675"/>
          <a:ext cx="33084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rPr>
            <a:t>=VLOOKUP(rand(),D11:F15,3)</a:t>
          </a:r>
        </a:p>
      </xdr:txBody>
    </xdr:sp>
    <xdr:clientData/>
  </xdr:oneCellAnchor>
  <xdr:oneCellAnchor>
    <xdr:from>
      <xdr:col>11</xdr:col>
      <xdr:colOff>590550</xdr:colOff>
      <xdr:row>13</xdr:row>
      <xdr:rowOff>276225</xdr:rowOff>
    </xdr:from>
    <xdr:ext cx="3045706" cy="405432"/>
    <xdr:sp macro="" textlink="">
      <xdr:nvSpPr>
        <xdr:cNvPr id="6" name="TextBox 5">
          <a:extLst>
            <a:ext uri="{FF2B5EF4-FFF2-40B4-BE49-F238E27FC236}">
              <a16:creationId xmlns:a16="http://schemas.microsoft.com/office/drawing/2014/main" id="{54122CD0-76AC-4F2A-8D33-CED5E88C6F6B}"/>
            </a:ext>
          </a:extLst>
        </xdr:cNvPr>
        <xdr:cNvSpPr txBox="1"/>
      </xdr:nvSpPr>
      <xdr:spPr>
        <a:xfrm>
          <a:off x="8372475" y="3371850"/>
          <a:ext cx="30457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effectLst/>
              <a:latin typeface="+mn-lt"/>
              <a:ea typeface="+mn-ea"/>
              <a:cs typeface="+mn-cs"/>
            </a:rPr>
            <a:t>X = min+ (max-min)*rand()</a:t>
          </a:r>
          <a:endParaRPr lang="en-AU" sz="2000" b="1">
            <a:solidFill>
              <a:srgbClr val="009999"/>
            </a:solidFill>
          </a:endParaRPr>
        </a:p>
      </xdr:txBody>
    </xdr:sp>
    <xdr:clientData/>
  </xdr:oneCellAnchor>
  <xdr:twoCellAnchor editAs="oneCell">
    <xdr:from>
      <xdr:col>0</xdr:col>
      <xdr:colOff>228600</xdr:colOff>
      <xdr:row>21</xdr:row>
      <xdr:rowOff>9524</xdr:rowOff>
    </xdr:from>
    <xdr:to>
      <xdr:col>8</xdr:col>
      <xdr:colOff>571500</xdr:colOff>
      <xdr:row>37</xdr:row>
      <xdr:rowOff>181145</xdr:rowOff>
    </xdr:to>
    <xdr:pic>
      <xdr:nvPicPr>
        <xdr:cNvPr id="7" name="Picture 6">
          <a:extLst>
            <a:ext uri="{FF2B5EF4-FFF2-40B4-BE49-F238E27FC236}">
              <a16:creationId xmlns:a16="http://schemas.microsoft.com/office/drawing/2014/main" id="{80C2B928-78CA-434E-AD22-39919976074D}"/>
            </a:ext>
          </a:extLst>
        </xdr:cNvPr>
        <xdr:cNvPicPr>
          <a:picLocks noChangeAspect="1"/>
        </xdr:cNvPicPr>
      </xdr:nvPicPr>
      <xdr:blipFill>
        <a:blip xmlns:r="http://schemas.openxmlformats.org/officeDocument/2006/relationships" r:embed="rId1"/>
        <a:stretch>
          <a:fillRect/>
        </a:stretch>
      </xdr:blipFill>
      <xdr:spPr>
        <a:xfrm>
          <a:off x="228600" y="5648324"/>
          <a:ext cx="6677025" cy="3372021"/>
        </a:xfrm>
        <a:prstGeom prst="rect">
          <a:avLst/>
        </a:prstGeom>
      </xdr:spPr>
    </xdr:pic>
    <xdr:clientData/>
  </xdr:twoCellAnchor>
  <xdr:twoCellAnchor editAs="oneCell">
    <xdr:from>
      <xdr:col>10</xdr:col>
      <xdr:colOff>247650</xdr:colOff>
      <xdr:row>16</xdr:row>
      <xdr:rowOff>489622</xdr:rowOff>
    </xdr:from>
    <xdr:to>
      <xdr:col>18</xdr:col>
      <xdr:colOff>3155397</xdr:colOff>
      <xdr:row>36</xdr:row>
      <xdr:rowOff>1348</xdr:rowOff>
    </xdr:to>
    <xdr:pic>
      <xdr:nvPicPr>
        <xdr:cNvPr id="8" name="Picture 7">
          <a:extLst>
            <a:ext uri="{FF2B5EF4-FFF2-40B4-BE49-F238E27FC236}">
              <a16:creationId xmlns:a16="http://schemas.microsoft.com/office/drawing/2014/main" id="{5E86A94D-8935-46E0-B5A6-B6BBA2B67D28}"/>
            </a:ext>
          </a:extLst>
        </xdr:cNvPr>
        <xdr:cNvPicPr>
          <a:picLocks noChangeAspect="1"/>
        </xdr:cNvPicPr>
      </xdr:nvPicPr>
      <xdr:blipFill>
        <a:blip xmlns:r="http://schemas.openxmlformats.org/officeDocument/2006/relationships" r:embed="rId2"/>
        <a:stretch>
          <a:fillRect/>
        </a:stretch>
      </xdr:blipFill>
      <xdr:spPr>
        <a:xfrm>
          <a:off x="7724775" y="4366297"/>
          <a:ext cx="8308422" cy="4274226"/>
        </a:xfrm>
        <a:prstGeom prst="rect">
          <a:avLst/>
        </a:prstGeom>
      </xdr:spPr>
    </xdr:pic>
    <xdr:clientData/>
  </xdr:twoCellAnchor>
  <xdr:twoCellAnchor editAs="oneCell">
    <xdr:from>
      <xdr:col>21</xdr:col>
      <xdr:colOff>819149</xdr:colOff>
      <xdr:row>19</xdr:row>
      <xdr:rowOff>129281</xdr:rowOff>
    </xdr:from>
    <xdr:to>
      <xdr:col>26</xdr:col>
      <xdr:colOff>1450394</xdr:colOff>
      <xdr:row>40</xdr:row>
      <xdr:rowOff>191948</xdr:rowOff>
    </xdr:to>
    <xdr:pic>
      <xdr:nvPicPr>
        <xdr:cNvPr id="9" name="Picture 8">
          <a:extLst>
            <a:ext uri="{FF2B5EF4-FFF2-40B4-BE49-F238E27FC236}">
              <a16:creationId xmlns:a16="http://schemas.microsoft.com/office/drawing/2014/main" id="{48A46D3C-3871-4AB1-9D97-394E16CD3C84}"/>
            </a:ext>
          </a:extLst>
        </xdr:cNvPr>
        <xdr:cNvPicPr>
          <a:picLocks noChangeAspect="1"/>
        </xdr:cNvPicPr>
      </xdr:nvPicPr>
      <xdr:blipFill>
        <a:blip xmlns:r="http://schemas.openxmlformats.org/officeDocument/2006/relationships" r:embed="rId3"/>
        <a:stretch>
          <a:fillRect/>
        </a:stretch>
      </xdr:blipFill>
      <xdr:spPr>
        <a:xfrm>
          <a:off x="19107149" y="5368031"/>
          <a:ext cx="7641645" cy="42631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10</xdr:col>
      <xdr:colOff>57149</xdr:colOff>
      <xdr:row>0</xdr:row>
      <xdr:rowOff>219075</xdr:rowOff>
    </xdr:from>
    <xdr:ext cx="6838951" cy="1076325"/>
    <xdr:sp macro="" textlink="">
      <xdr:nvSpPr>
        <xdr:cNvPr id="2" name="TextBox 1">
          <a:extLst>
            <a:ext uri="{FF2B5EF4-FFF2-40B4-BE49-F238E27FC236}">
              <a16:creationId xmlns:a16="http://schemas.microsoft.com/office/drawing/2014/main" id="{0F101E99-8B5D-45EA-974B-0DCA9D321ADB}"/>
            </a:ext>
          </a:extLst>
        </xdr:cNvPr>
        <xdr:cNvSpPr txBox="1"/>
      </xdr:nvSpPr>
      <xdr:spPr>
        <a:xfrm>
          <a:off x="12496799" y="219075"/>
          <a:ext cx="6838951" cy="1076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2000" b="1">
              <a:solidFill>
                <a:srgbClr val="009999"/>
              </a:solidFill>
            </a:rPr>
            <a:t>1. To assign</a:t>
          </a:r>
          <a:r>
            <a:rPr lang="en-AU" sz="2000" b="1" baseline="0">
              <a:solidFill>
                <a:srgbClr val="009999"/>
              </a:solidFill>
            </a:rPr>
            <a:t> </a:t>
          </a:r>
          <a:r>
            <a:rPr lang="en-AU" sz="2000" b="1">
              <a:solidFill>
                <a:srgbClr val="009999"/>
              </a:solidFill>
            </a:rPr>
            <a:t>Labour cost</a:t>
          </a:r>
        </a:p>
        <a:p>
          <a:r>
            <a:rPr lang="en-AU" sz="2000" b="1" i="1">
              <a:solidFill>
                <a:srgbClr val="009999"/>
              </a:solidFill>
            </a:rPr>
            <a:t>     x =VLOOKUP()</a:t>
          </a:r>
        </a:p>
        <a:p>
          <a:r>
            <a:rPr lang="en-AU" sz="2000" b="1" i="1">
              <a:solidFill>
                <a:srgbClr val="009999"/>
              </a:solidFill>
            </a:rPr>
            <a:t>        =VLOOKUP(RAND(),'5.Distributions'!F9:H13,3,TRUE)</a:t>
          </a:r>
        </a:p>
        <a:p>
          <a:endParaRPr lang="en-AU" sz="2000" b="1" i="1">
            <a:solidFill>
              <a:srgbClr val="009999"/>
            </a:solidFill>
          </a:endParaRPr>
        </a:p>
      </xdr:txBody>
    </xdr:sp>
    <xdr:clientData/>
  </xdr:oneCellAnchor>
  <xdr:oneCellAnchor>
    <xdr:from>
      <xdr:col>10</xdr:col>
      <xdr:colOff>95250</xdr:colOff>
      <xdr:row>5</xdr:row>
      <xdr:rowOff>190500</xdr:rowOff>
    </xdr:from>
    <xdr:ext cx="3733800" cy="718530"/>
    <xdr:sp macro="" textlink="">
      <xdr:nvSpPr>
        <xdr:cNvPr id="3" name="TextBox 2">
          <a:extLst>
            <a:ext uri="{FF2B5EF4-FFF2-40B4-BE49-F238E27FC236}">
              <a16:creationId xmlns:a16="http://schemas.microsoft.com/office/drawing/2014/main" id="{E481613C-2004-45E4-8B93-EE0A859FA271}"/>
            </a:ext>
          </a:extLst>
        </xdr:cNvPr>
        <xdr:cNvSpPr txBox="1"/>
      </xdr:nvSpPr>
      <xdr:spPr>
        <a:xfrm>
          <a:off x="12534900" y="1619250"/>
          <a:ext cx="37338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000" b="1">
              <a:solidFill>
                <a:srgbClr val="009999"/>
              </a:solidFill>
              <a:effectLst/>
              <a:latin typeface="+mn-lt"/>
              <a:ea typeface="+mn-ea"/>
              <a:cs typeface="+mn-cs"/>
            </a:rPr>
            <a:t>2. To assign Cost for the parts</a:t>
          </a:r>
        </a:p>
        <a:p>
          <a:r>
            <a:rPr lang="en-AU" sz="2000" b="1" i="1">
              <a:solidFill>
                <a:srgbClr val="009999"/>
              </a:solidFill>
              <a:effectLst/>
              <a:latin typeface="+mn-lt"/>
              <a:ea typeface="+mn-ea"/>
              <a:cs typeface="+mn-cs"/>
            </a:rPr>
            <a:t>x = min+ (max-min)*rand()</a:t>
          </a:r>
          <a:endParaRPr lang="en-AU" sz="2000" b="1" i="1">
            <a:solidFill>
              <a:srgbClr val="009999"/>
            </a:solidFill>
          </a:endParaRPr>
        </a:p>
      </xdr:txBody>
    </xdr:sp>
    <xdr:clientData/>
  </xdr:oneCellAnchor>
  <xdr:oneCellAnchor>
    <xdr:from>
      <xdr:col>10</xdr:col>
      <xdr:colOff>123824</xdr:colOff>
      <xdr:row>10</xdr:row>
      <xdr:rowOff>142876</xdr:rowOff>
    </xdr:from>
    <xdr:ext cx="12715876" cy="1830053"/>
    <xdr:sp macro="" textlink="">
      <xdr:nvSpPr>
        <xdr:cNvPr id="4" name="TextBox 3">
          <a:extLst>
            <a:ext uri="{FF2B5EF4-FFF2-40B4-BE49-F238E27FC236}">
              <a16:creationId xmlns:a16="http://schemas.microsoft.com/office/drawing/2014/main" id="{315FA66D-0B16-426F-884A-DFE3BC365196}"/>
            </a:ext>
          </a:extLst>
        </xdr:cNvPr>
        <xdr:cNvSpPr txBox="1"/>
      </xdr:nvSpPr>
      <xdr:spPr>
        <a:xfrm>
          <a:off x="12563474" y="2895601"/>
          <a:ext cx="12715876" cy="18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3. To assign Demand</a:t>
          </a:r>
        </a:p>
        <a:p>
          <a:pPr marL="0" marR="0" lvl="0" indent="0" defTabSz="914400" rtl="0" eaLnBrk="1" fontAlgn="auto" latinLnBrk="0" hangingPunct="1">
            <a:lnSpc>
              <a:spcPct val="100000"/>
            </a:lnSpc>
            <a:spcBef>
              <a:spcPts val="0"/>
            </a:spcBef>
            <a:spcAft>
              <a:spcPts val="0"/>
            </a:spcAft>
            <a:buClrTx/>
            <a:buSzTx/>
            <a:buFontTx/>
            <a:buNone/>
            <a:tabLst/>
            <a:defRPr/>
          </a:pPr>
          <a:r>
            <a:rPr lang="en-AU" sz="2000" b="1" i="1">
              <a:solidFill>
                <a:srgbClr val="009999"/>
              </a:solidFill>
              <a:effectLst/>
              <a:latin typeface="+mn-lt"/>
              <a:ea typeface="+mn-ea"/>
              <a:cs typeface="+mn-cs"/>
            </a:rPr>
            <a:t>x = max(0, norm.inv(rand(),15000,4500)</a:t>
          </a:r>
          <a:endParaRPr lang="en-AU" sz="2000" b="1" i="1">
            <a:solidFill>
              <a:srgbClr val="009999"/>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2000" b="1" i="1">
              <a:solidFill>
                <a:srgbClr val="009999"/>
              </a:solidFill>
              <a:effectLst/>
              <a:latin typeface="+mn-lt"/>
              <a:ea typeface="+mn-ea"/>
              <a:cs typeface="+mn-cs"/>
            </a:rPr>
            <a:t>x = max(0, norm.inv(rand(),11000,4500)</a:t>
          </a:r>
        </a:p>
        <a:p>
          <a:pPr marL="0" marR="0" lvl="0" indent="0" defTabSz="914400" rtl="0" eaLnBrk="1" fontAlgn="auto" latinLnBrk="0" hangingPunct="1">
            <a:lnSpc>
              <a:spcPct val="100000"/>
            </a:lnSpc>
            <a:spcBef>
              <a:spcPts val="0"/>
            </a:spcBef>
            <a:spcAft>
              <a:spcPts val="0"/>
            </a:spcAft>
            <a:buClrTx/>
            <a:buSzTx/>
            <a:buFontTx/>
            <a:buNone/>
            <a:tabLst/>
            <a:defRPr/>
          </a:pPr>
          <a:endParaRPr lang="en-AU" sz="2000" b="1" i="1">
            <a:solidFill>
              <a:srgbClr val="009999"/>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2000" b="1" i="1">
              <a:solidFill>
                <a:srgbClr val="009999"/>
              </a:solidFill>
              <a:effectLst/>
            </a:rPr>
            <a:t>x= IF(Selling_price_per_unit=249,MAX(0,NORM.INV(RAND(),15000,4500),MAX(0,NORM.INV(RAND(),11000,4500))))</a:t>
          </a:r>
        </a:p>
        <a:p>
          <a:endParaRPr lang="en-AU"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ahrah\OneDrive%20-%20Deakin%20University\Week6%20MIS775\2017-T1\Fitting%20distribu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eakin365-my.sharepoint.com/personal/annista_wijayanayake_deakin_edu_au/Documents/Documents/0.00%20%202025-T1/MIS775/MIS775-2025-T1/Week%208-Simulation%20Modelling/MIS775_Topic_8_workings-AW.xlsx" TargetMode="External"/><Relationship Id="rId1" Type="http://schemas.openxmlformats.org/officeDocument/2006/relationships/externalLinkPath" Target="MIS775_Topic_8_workings-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oice of Distribution"/>
      <sheetName val="fit Uniform Distribution"/>
      <sheetName val="fit Poisson Dist-Example 1"/>
      <sheetName val="fit Poisson Dist-Example 2"/>
      <sheetName val="fit Normal Dist"/>
      <sheetName val="fit Beta Dist"/>
    </sheetNames>
    <sheetDataSet>
      <sheetData sheetId="0"/>
      <sheetData sheetId="1"/>
      <sheetData sheetId="2"/>
      <sheetData sheetId="3"/>
      <sheetData sheetId="4"/>
      <sheetData sheetId="5">
        <row r="11">
          <cell r="G11">
            <v>0.29284543926798223</v>
          </cell>
        </row>
        <row r="12">
          <cell r="G12">
            <v>2.5792115389069E-2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structions"/>
      <sheetName val="2.Manager Page"/>
      <sheetName val="3.Conceptual Model"/>
      <sheetName val="4. Vlooup function"/>
      <sheetName val="5.Distributions"/>
      <sheetName val="6.Model"/>
    </sheetNames>
    <sheetDataSet>
      <sheetData sheetId="0" refreshError="1"/>
      <sheetData sheetId="1" refreshError="1"/>
      <sheetData sheetId="2" refreshError="1"/>
      <sheetData sheetId="3" refreshError="1"/>
      <sheetData sheetId="4" refreshError="1"/>
      <sheetData sheetId="5">
        <row r="9">
          <cell r="H9" t="str">
            <v>?</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3F00-BC2D-4D8F-AFCF-8D56B5525F95}">
  <dimension ref="B1:R24"/>
  <sheetViews>
    <sheetView showGridLines="0" zoomScaleNormal="100" workbookViewId="0">
      <selection activeCell="R18" sqref="R18"/>
    </sheetView>
  </sheetViews>
  <sheetFormatPr defaultRowHeight="15" x14ac:dyDescent="0.25"/>
  <cols>
    <col min="1" max="1" width="4.5703125" customWidth="1"/>
  </cols>
  <sheetData>
    <row r="1" spans="2:18" ht="18.75" x14ac:dyDescent="0.3">
      <c r="Q1" s="3"/>
      <c r="R1" s="3"/>
    </row>
    <row r="2" spans="2:18" ht="15.6" customHeight="1" x14ac:dyDescent="0.3">
      <c r="B2" s="33" t="s">
        <v>54</v>
      </c>
      <c r="C2" s="34"/>
      <c r="D2" s="34"/>
      <c r="E2" s="34"/>
      <c r="F2" s="34"/>
      <c r="G2" s="34"/>
      <c r="H2" s="34"/>
      <c r="I2" s="34"/>
      <c r="J2" s="34"/>
      <c r="K2" s="34"/>
      <c r="L2" s="25"/>
      <c r="M2" s="3"/>
      <c r="N2" s="3"/>
      <c r="O2" s="3"/>
      <c r="P2" s="3"/>
      <c r="Q2" s="3"/>
      <c r="R2" s="3"/>
    </row>
    <row r="3" spans="2:18" ht="18.75" customHeight="1" x14ac:dyDescent="0.3">
      <c r="B3" s="89" t="s">
        <v>55</v>
      </c>
      <c r="C3" s="89"/>
      <c r="D3" s="89"/>
      <c r="E3" s="89"/>
      <c r="F3" s="89"/>
      <c r="G3" s="89"/>
      <c r="H3" s="89"/>
      <c r="I3" s="89"/>
      <c r="J3" s="89"/>
      <c r="K3" s="89"/>
      <c r="L3" s="25"/>
      <c r="M3" s="3"/>
      <c r="N3" s="3"/>
      <c r="O3" s="3"/>
      <c r="P3" s="3"/>
      <c r="Q3" s="3"/>
      <c r="R3" s="3"/>
    </row>
    <row r="4" spans="2:18" ht="18.75" x14ac:dyDescent="0.3">
      <c r="B4" s="89"/>
      <c r="C4" s="89"/>
      <c r="D4" s="89"/>
      <c r="E4" s="89"/>
      <c r="F4" s="89"/>
      <c r="G4" s="89"/>
      <c r="H4" s="89"/>
      <c r="I4" s="89"/>
      <c r="J4" s="89"/>
      <c r="K4" s="89"/>
      <c r="L4" s="3"/>
      <c r="M4" s="3"/>
      <c r="N4" s="3"/>
      <c r="O4" s="3"/>
      <c r="P4" s="3"/>
      <c r="Q4" s="3"/>
      <c r="R4" s="3"/>
    </row>
    <row r="5" spans="2:18" ht="18.75" x14ac:dyDescent="0.3">
      <c r="B5" s="89"/>
      <c r="C5" s="89"/>
      <c r="D5" s="89"/>
      <c r="E5" s="89"/>
      <c r="F5" s="89"/>
      <c r="G5" s="89"/>
      <c r="H5" s="89"/>
      <c r="I5" s="89"/>
      <c r="J5" s="89"/>
      <c r="K5" s="89"/>
      <c r="L5" s="3"/>
      <c r="M5" s="3"/>
      <c r="N5" s="3"/>
      <c r="O5" s="3"/>
      <c r="P5" s="3"/>
      <c r="Q5" s="3"/>
      <c r="R5" s="3"/>
    </row>
    <row r="6" spans="2:18" ht="18.75" x14ac:dyDescent="0.3">
      <c r="B6" s="35"/>
      <c r="C6" s="36"/>
      <c r="D6" s="36"/>
      <c r="E6" s="36"/>
      <c r="F6" s="36"/>
      <c r="G6" s="36"/>
      <c r="H6" s="36"/>
      <c r="I6" s="36"/>
      <c r="J6" s="36"/>
      <c r="K6" s="36"/>
      <c r="L6" s="3"/>
      <c r="M6" s="3"/>
      <c r="N6" s="3"/>
      <c r="O6" s="3"/>
      <c r="P6" s="3"/>
      <c r="Q6" s="3"/>
      <c r="R6" s="3"/>
    </row>
    <row r="7" spans="2:18" ht="18.75" customHeight="1" x14ac:dyDescent="0.3">
      <c r="B7" s="89" t="s">
        <v>56</v>
      </c>
      <c r="C7" s="89"/>
      <c r="D7" s="89"/>
      <c r="E7" s="89"/>
      <c r="F7" s="89"/>
      <c r="G7" s="89"/>
      <c r="H7" s="89"/>
      <c r="I7" s="89"/>
      <c r="J7" s="89"/>
      <c r="K7" s="89"/>
      <c r="L7" s="3"/>
      <c r="M7" s="3"/>
      <c r="N7" s="3"/>
      <c r="O7" s="3"/>
      <c r="P7" s="3"/>
      <c r="Q7" s="3"/>
      <c r="R7" s="3"/>
    </row>
    <row r="8" spans="2:18" ht="15.75" customHeight="1" x14ac:dyDescent="0.25">
      <c r="B8" s="89"/>
      <c r="C8" s="89"/>
      <c r="D8" s="89"/>
      <c r="E8" s="89"/>
      <c r="F8" s="89"/>
      <c r="G8" s="89"/>
      <c r="H8" s="89"/>
      <c r="I8" s="89"/>
      <c r="J8" s="89"/>
      <c r="K8" s="89"/>
    </row>
    <row r="9" spans="2:18" ht="18.75" x14ac:dyDescent="0.3">
      <c r="B9" s="36"/>
      <c r="C9" s="36"/>
      <c r="D9" s="36"/>
      <c r="E9" s="36"/>
      <c r="F9" s="36"/>
      <c r="G9" s="36"/>
      <c r="H9" s="36"/>
      <c r="I9" s="36"/>
      <c r="J9" s="36"/>
      <c r="K9" s="36"/>
    </row>
    <row r="10" spans="2:18" ht="18.75" x14ac:dyDescent="0.3">
      <c r="B10" s="37" t="s">
        <v>57</v>
      </c>
      <c r="C10" s="37"/>
      <c r="D10" s="37"/>
      <c r="E10" s="37"/>
      <c r="F10" s="37"/>
      <c r="G10" s="37"/>
      <c r="H10" s="37"/>
      <c r="I10" s="37"/>
      <c r="J10" s="37"/>
      <c r="K10" s="37"/>
    </row>
    <row r="11" spans="2:18" ht="18.75" x14ac:dyDescent="0.3">
      <c r="B11" s="36"/>
      <c r="C11" s="36"/>
      <c r="D11" s="36"/>
      <c r="E11" s="36"/>
      <c r="F11" s="36"/>
      <c r="G11" s="36"/>
      <c r="H11" s="36"/>
      <c r="I11" s="36"/>
      <c r="J11" s="36"/>
      <c r="K11" s="36"/>
    </row>
    <row r="13" spans="2:18" ht="26.25" customHeight="1" x14ac:dyDescent="0.35">
      <c r="B13" s="6" t="s">
        <v>16</v>
      </c>
    </row>
    <row r="14" spans="2:18" ht="18.75" x14ac:dyDescent="0.3">
      <c r="B14" s="3"/>
      <c r="C14" s="3"/>
      <c r="D14" s="3"/>
      <c r="E14" s="3"/>
      <c r="F14" s="3"/>
      <c r="G14" s="3"/>
      <c r="H14" s="3"/>
      <c r="I14" s="3"/>
      <c r="J14" s="3"/>
      <c r="K14" s="3"/>
      <c r="L14" s="3"/>
      <c r="M14" s="3"/>
      <c r="N14" s="3"/>
      <c r="O14" s="3"/>
      <c r="P14" s="3"/>
    </row>
    <row r="15" spans="2:18" ht="18.75" x14ac:dyDescent="0.3">
      <c r="B15" s="90" t="s">
        <v>46</v>
      </c>
      <c r="C15" s="90"/>
      <c r="D15" s="90"/>
      <c r="E15" s="90"/>
      <c r="F15" s="90"/>
      <c r="G15" s="90"/>
      <c r="H15" s="90"/>
      <c r="I15" s="90"/>
      <c r="J15" s="90"/>
      <c r="K15" s="90"/>
      <c r="L15" s="90"/>
      <c r="M15" s="23"/>
      <c r="N15" s="3"/>
      <c r="O15" s="3"/>
      <c r="P15" s="3"/>
    </row>
    <row r="16" spans="2:18" ht="18.75" x14ac:dyDescent="0.3">
      <c r="B16" s="90"/>
      <c r="C16" s="90"/>
      <c r="D16" s="90"/>
      <c r="E16" s="90"/>
      <c r="F16" s="90"/>
      <c r="G16" s="90"/>
      <c r="H16" s="90"/>
      <c r="I16" s="90"/>
      <c r="J16" s="90"/>
      <c r="K16" s="90"/>
      <c r="L16" s="90"/>
      <c r="M16" s="23"/>
      <c r="N16" s="3"/>
      <c r="O16" s="3"/>
      <c r="P16" s="3"/>
    </row>
    <row r="17" spans="2:16" ht="18.75" x14ac:dyDescent="0.3">
      <c r="B17" s="90"/>
      <c r="C17" s="90"/>
      <c r="D17" s="90"/>
      <c r="E17" s="90"/>
      <c r="F17" s="90"/>
      <c r="G17" s="90"/>
      <c r="H17" s="90"/>
      <c r="I17" s="90"/>
      <c r="J17" s="90"/>
      <c r="K17" s="90"/>
      <c r="L17" s="90"/>
      <c r="M17" s="23"/>
      <c r="N17" s="3"/>
      <c r="O17" s="3"/>
      <c r="P17" s="3"/>
    </row>
    <row r="18" spans="2:16" ht="18.75" x14ac:dyDescent="0.3">
      <c r="B18" s="23"/>
      <c r="C18" s="23"/>
      <c r="D18" s="23"/>
      <c r="E18" s="23"/>
      <c r="F18" s="23"/>
      <c r="G18" s="23"/>
      <c r="H18" s="23"/>
      <c r="I18" s="23"/>
      <c r="J18" s="23"/>
      <c r="K18" s="23"/>
      <c r="L18" s="23"/>
      <c r="M18" s="23"/>
      <c r="N18" s="3"/>
      <c r="O18" s="3"/>
      <c r="P18" s="3"/>
    </row>
    <row r="19" spans="2:16" ht="22.5" customHeight="1" x14ac:dyDescent="0.3">
      <c r="B19" s="91" t="s">
        <v>58</v>
      </c>
      <c r="C19" s="91"/>
      <c r="D19" s="91"/>
      <c r="E19" s="91"/>
      <c r="F19" s="91"/>
      <c r="G19" s="91"/>
      <c r="H19" s="38"/>
      <c r="I19" s="38"/>
      <c r="J19" s="38"/>
      <c r="K19" s="38"/>
      <c r="L19" s="38"/>
      <c r="M19" s="38"/>
      <c r="N19" s="39"/>
      <c r="O19" s="39"/>
      <c r="P19" s="3"/>
    </row>
    <row r="20" spans="2:16" ht="18.75" x14ac:dyDescent="0.3">
      <c r="B20" s="39" t="s">
        <v>59</v>
      </c>
      <c r="C20" s="38"/>
      <c r="D20" s="38"/>
      <c r="E20" s="38"/>
      <c r="F20" s="38"/>
      <c r="G20" s="38"/>
      <c r="H20" s="38"/>
      <c r="I20" s="38"/>
      <c r="J20" s="38"/>
      <c r="K20" s="38"/>
      <c r="L20" s="38"/>
      <c r="M20" s="38"/>
      <c r="N20" s="39"/>
      <c r="O20" s="39"/>
      <c r="P20" s="3"/>
    </row>
    <row r="21" spans="2:16" ht="18.75" x14ac:dyDescent="0.3">
      <c r="B21" s="39" t="s">
        <v>60</v>
      </c>
      <c r="C21" s="38"/>
      <c r="D21" s="38"/>
      <c r="E21" s="38"/>
      <c r="F21" s="38"/>
      <c r="G21" s="38"/>
      <c r="H21" s="38"/>
      <c r="I21" s="38"/>
      <c r="J21" s="38"/>
      <c r="K21" s="38"/>
      <c r="L21" s="38"/>
      <c r="M21" s="38"/>
      <c r="N21" s="39"/>
      <c r="O21" s="39"/>
      <c r="P21" s="3"/>
    </row>
    <row r="22" spans="2:16" ht="18.75" x14ac:dyDescent="0.3">
      <c r="B22" s="40" t="s">
        <v>61</v>
      </c>
      <c r="C22" s="39"/>
      <c r="D22" s="39"/>
      <c r="E22" s="39"/>
      <c r="F22" s="39"/>
      <c r="G22" s="39"/>
      <c r="H22" s="39"/>
      <c r="I22" s="39"/>
      <c r="J22" s="39"/>
      <c r="K22" s="39"/>
      <c r="L22" s="39"/>
      <c r="M22" s="39"/>
      <c r="N22" s="39"/>
      <c r="O22" s="39"/>
      <c r="P22" s="3"/>
    </row>
    <row r="23" spans="2:16" ht="18.75" x14ac:dyDescent="0.3">
      <c r="B23" s="3"/>
      <c r="C23" s="3"/>
      <c r="D23" s="3"/>
      <c r="E23" s="3"/>
      <c r="F23" s="3"/>
      <c r="G23" s="3"/>
      <c r="H23" s="3"/>
      <c r="I23" s="3"/>
      <c r="J23" s="3"/>
      <c r="K23" s="3"/>
      <c r="L23" s="3"/>
      <c r="M23" s="3"/>
      <c r="N23" s="3"/>
      <c r="O23" s="3"/>
      <c r="P23" s="3"/>
    </row>
    <row r="24" spans="2:16" ht="18.75" x14ac:dyDescent="0.3">
      <c r="B24" s="2" t="s">
        <v>38</v>
      </c>
      <c r="C24" s="3"/>
      <c r="D24" s="3"/>
      <c r="E24" s="3"/>
      <c r="F24" s="3"/>
      <c r="G24" s="3"/>
      <c r="H24" s="3"/>
      <c r="I24" s="3"/>
      <c r="J24" s="3"/>
      <c r="K24" s="3"/>
      <c r="L24" s="3"/>
      <c r="M24" s="3"/>
      <c r="N24" s="3"/>
      <c r="O24" s="3"/>
      <c r="P24" s="3"/>
    </row>
  </sheetData>
  <mergeCells count="4">
    <mergeCell ref="B3:K5"/>
    <mergeCell ref="B7:K8"/>
    <mergeCell ref="B15:L17"/>
    <mergeCell ref="B19:G1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FC87-0D89-4135-BFD3-EBAF86337DE0}">
  <dimension ref="B1:K24"/>
  <sheetViews>
    <sheetView showGridLines="0" zoomScaleNormal="100" workbookViewId="0">
      <selection activeCell="O8" sqref="O8"/>
    </sheetView>
  </sheetViews>
  <sheetFormatPr defaultColWidth="9.28515625" defaultRowHeight="15.75" x14ac:dyDescent="0.25"/>
  <cols>
    <col min="1" max="1" width="4.5703125" style="5" customWidth="1"/>
    <col min="2" max="2" width="9.28515625" style="5"/>
    <col min="3" max="3" width="21" style="5" customWidth="1"/>
    <col min="4" max="4" width="9.28515625" style="5"/>
    <col min="5" max="5" width="23.28515625" style="5" customWidth="1"/>
    <col min="6" max="6" width="14.28515625" style="5" customWidth="1"/>
    <col min="7" max="16384" width="9.28515625" style="5"/>
  </cols>
  <sheetData>
    <row r="1" spans="2:11" ht="23.25" x14ac:dyDescent="0.35">
      <c r="B1" s="18"/>
      <c r="C1" s="18"/>
      <c r="D1" s="18"/>
      <c r="E1" s="18"/>
      <c r="F1" s="18"/>
      <c r="G1" s="18"/>
      <c r="H1" s="18"/>
      <c r="I1" s="18"/>
      <c r="J1" s="18"/>
      <c r="K1" s="18"/>
    </row>
    <row r="2" spans="2:11" ht="23.25" x14ac:dyDescent="0.35">
      <c r="B2" s="19" t="s">
        <v>9</v>
      </c>
      <c r="C2" s="18"/>
      <c r="D2" s="26" t="s">
        <v>0</v>
      </c>
      <c r="E2" s="18"/>
      <c r="F2" s="18"/>
      <c r="G2" s="18"/>
      <c r="H2" s="18"/>
      <c r="I2" s="18"/>
      <c r="J2" s="18"/>
      <c r="K2" s="18"/>
    </row>
    <row r="3" spans="2:11" ht="23.25" x14ac:dyDescent="0.35">
      <c r="B3" s="18"/>
      <c r="C3" s="18"/>
      <c r="D3" s="18"/>
      <c r="E3" s="18"/>
      <c r="F3" s="18"/>
      <c r="G3" s="18"/>
      <c r="H3" s="18"/>
      <c r="I3" s="18"/>
      <c r="J3" s="18"/>
      <c r="K3" s="18"/>
    </row>
    <row r="4" spans="2:11" ht="23.25" x14ac:dyDescent="0.35">
      <c r="B4" s="18"/>
      <c r="C4" s="18"/>
      <c r="D4" s="18"/>
      <c r="E4" s="18"/>
      <c r="F4" s="18"/>
      <c r="G4" s="18"/>
      <c r="H4" s="18"/>
      <c r="I4" s="18"/>
      <c r="J4" s="18"/>
      <c r="K4" s="18"/>
    </row>
    <row r="5" spans="2:11" ht="23.25" x14ac:dyDescent="0.35">
      <c r="B5" s="19" t="s">
        <v>10</v>
      </c>
      <c r="C5" s="18"/>
      <c r="D5" s="22" t="s">
        <v>11</v>
      </c>
      <c r="E5" s="17"/>
      <c r="F5" s="17"/>
      <c r="G5" s="17"/>
      <c r="H5" s="18"/>
      <c r="I5" s="18"/>
      <c r="J5" s="18"/>
      <c r="K5" s="18"/>
    </row>
    <row r="6" spans="2:11" ht="23.25" x14ac:dyDescent="0.35">
      <c r="B6" s="18"/>
      <c r="C6" s="18"/>
      <c r="D6" s="20" t="s">
        <v>12</v>
      </c>
      <c r="E6" s="20"/>
      <c r="F6" s="20"/>
      <c r="G6" s="18"/>
      <c r="H6" s="18"/>
      <c r="I6" s="18"/>
      <c r="J6" s="18"/>
      <c r="K6" s="18"/>
    </row>
    <row r="7" spans="2:11" ht="23.25" x14ac:dyDescent="0.35">
      <c r="B7" s="18"/>
      <c r="C7" s="18"/>
      <c r="D7" s="18"/>
      <c r="E7" s="18"/>
      <c r="F7" s="18"/>
      <c r="G7" s="18"/>
      <c r="H7" s="18"/>
      <c r="I7" s="18"/>
      <c r="J7" s="18"/>
      <c r="K7" s="18"/>
    </row>
    <row r="8" spans="2:11" ht="23.25" x14ac:dyDescent="0.35">
      <c r="B8" s="18"/>
      <c r="C8" s="18"/>
      <c r="D8" s="22" t="s">
        <v>13</v>
      </c>
      <c r="E8" s="17"/>
      <c r="F8" s="17"/>
      <c r="G8" s="17"/>
      <c r="H8" s="17"/>
      <c r="I8" s="18"/>
      <c r="J8" s="18"/>
      <c r="K8" s="18"/>
    </row>
    <row r="9" spans="2:11" ht="23.25" x14ac:dyDescent="0.35">
      <c r="B9" s="18"/>
      <c r="C9" s="18"/>
      <c r="D9" s="41" t="s">
        <v>14</v>
      </c>
      <c r="E9" s="41"/>
      <c r="F9" s="18"/>
      <c r="G9" s="18"/>
      <c r="H9" s="18"/>
      <c r="I9" s="18"/>
      <c r="J9" s="18"/>
      <c r="K9" s="18"/>
    </row>
    <row r="10" spans="2:11" ht="23.25" x14ac:dyDescent="0.35">
      <c r="B10" s="18"/>
      <c r="C10" s="18"/>
      <c r="D10" s="41" t="s">
        <v>15</v>
      </c>
      <c r="E10" s="41"/>
      <c r="F10" s="18"/>
      <c r="G10" s="18"/>
      <c r="H10" s="18"/>
      <c r="I10" s="18"/>
      <c r="J10" s="18"/>
      <c r="K10" s="18"/>
    </row>
    <row r="11" spans="2:11" ht="23.25" x14ac:dyDescent="0.35">
      <c r="B11" s="18"/>
      <c r="C11" s="18"/>
      <c r="D11" s="41" t="s">
        <v>6</v>
      </c>
      <c r="E11" s="41"/>
      <c r="F11" s="18"/>
      <c r="G11" s="18"/>
      <c r="H11" s="18"/>
      <c r="I11" s="18"/>
      <c r="J11" s="18"/>
      <c r="K11" s="18"/>
    </row>
    <row r="12" spans="2:11" ht="23.25" x14ac:dyDescent="0.35">
      <c r="B12" s="18"/>
      <c r="C12" s="18"/>
      <c r="D12" s="18"/>
      <c r="E12" s="18"/>
      <c r="F12" s="18"/>
      <c r="G12" s="18"/>
      <c r="H12" s="18"/>
      <c r="I12" s="18"/>
      <c r="J12" s="18"/>
      <c r="K12" s="18"/>
    </row>
    <row r="13" spans="2:11" ht="23.25" x14ac:dyDescent="0.35">
      <c r="B13" s="18"/>
      <c r="C13" s="18"/>
      <c r="D13" s="22" t="s">
        <v>8</v>
      </c>
      <c r="E13" s="18"/>
      <c r="F13" s="18"/>
      <c r="G13" s="18"/>
      <c r="H13" s="18"/>
      <c r="I13" s="18"/>
      <c r="J13" s="18"/>
      <c r="K13" s="18"/>
    </row>
    <row r="14" spans="2:11" ht="23.25" x14ac:dyDescent="0.35">
      <c r="B14" s="18"/>
      <c r="C14" s="18"/>
      <c r="D14" s="21" t="s">
        <v>36</v>
      </c>
      <c r="E14" s="21"/>
      <c r="F14" s="21"/>
      <c r="G14" s="18"/>
      <c r="H14" s="18"/>
      <c r="I14" s="18"/>
      <c r="J14" s="18"/>
      <c r="K14" s="18"/>
    </row>
    <row r="15" spans="2:11" ht="23.25" x14ac:dyDescent="0.35">
      <c r="B15" s="18"/>
      <c r="C15" s="18"/>
      <c r="D15" s="21" t="s">
        <v>37</v>
      </c>
      <c r="E15" s="21"/>
      <c r="F15" s="21"/>
      <c r="G15" s="18"/>
      <c r="H15" s="18"/>
      <c r="I15" s="18"/>
      <c r="J15" s="18"/>
      <c r="K15" s="18"/>
    </row>
    <row r="16" spans="2:11" ht="23.25" x14ac:dyDescent="0.35">
      <c r="B16" s="18"/>
      <c r="C16" s="18"/>
      <c r="D16" s="18"/>
      <c r="E16" s="18"/>
      <c r="F16" s="18"/>
      <c r="G16" s="18"/>
      <c r="H16" s="18"/>
      <c r="I16" s="18"/>
      <c r="J16" s="18"/>
      <c r="K16" s="18"/>
    </row>
    <row r="17" spans="2:11" ht="23.25" x14ac:dyDescent="0.35">
      <c r="B17" s="18"/>
      <c r="C17" s="18"/>
      <c r="D17" s="18"/>
      <c r="E17" s="18"/>
      <c r="F17" s="18"/>
      <c r="G17" s="18"/>
      <c r="H17" s="18"/>
      <c r="I17" s="18"/>
      <c r="J17" s="18"/>
      <c r="K17" s="18"/>
    </row>
    <row r="18" spans="2:11" ht="23.25" x14ac:dyDescent="0.35">
      <c r="B18" s="18"/>
      <c r="C18" s="18"/>
      <c r="D18" s="18"/>
      <c r="E18" s="18"/>
      <c r="F18" s="18"/>
      <c r="G18" s="18"/>
      <c r="H18" s="18"/>
      <c r="I18" s="18"/>
      <c r="J18" s="18"/>
      <c r="K18" s="18"/>
    </row>
    <row r="19" spans="2:11" ht="23.25" x14ac:dyDescent="0.35">
      <c r="B19" s="18"/>
      <c r="C19" s="18"/>
      <c r="D19" s="18"/>
      <c r="E19" s="18"/>
      <c r="F19" s="18"/>
      <c r="G19" s="18"/>
      <c r="H19" s="18"/>
      <c r="I19" s="18"/>
      <c r="J19" s="18"/>
      <c r="K19" s="18"/>
    </row>
    <row r="20" spans="2:11" ht="23.25" x14ac:dyDescent="0.35">
      <c r="B20" s="18"/>
      <c r="C20" s="18"/>
      <c r="D20" s="18"/>
      <c r="E20" s="18"/>
      <c r="F20" s="18"/>
      <c r="G20" s="18"/>
      <c r="H20" s="18"/>
      <c r="I20" s="18"/>
      <c r="J20" s="18"/>
      <c r="K20" s="18"/>
    </row>
    <row r="21" spans="2:11" ht="23.25" x14ac:dyDescent="0.35">
      <c r="B21" s="18"/>
      <c r="C21" s="18"/>
      <c r="D21" s="18"/>
      <c r="E21" s="18"/>
      <c r="F21" s="18"/>
      <c r="G21" s="18"/>
      <c r="H21" s="18"/>
      <c r="I21" s="18"/>
      <c r="J21" s="18"/>
      <c r="K21" s="18"/>
    </row>
    <row r="22" spans="2:11" ht="23.25" x14ac:dyDescent="0.35">
      <c r="B22" s="18"/>
      <c r="C22" s="18"/>
      <c r="D22" s="18"/>
      <c r="E22" s="18"/>
      <c r="F22" s="18"/>
      <c r="G22" s="18"/>
      <c r="H22" s="18"/>
      <c r="I22" s="18"/>
      <c r="J22" s="18"/>
      <c r="K22" s="18"/>
    </row>
    <row r="23" spans="2:11" ht="23.25" x14ac:dyDescent="0.35">
      <c r="B23" s="18"/>
      <c r="C23" s="18"/>
      <c r="D23" s="18"/>
      <c r="E23" s="18"/>
      <c r="F23" s="18"/>
      <c r="G23" s="18"/>
      <c r="H23" s="18"/>
      <c r="I23" s="18"/>
      <c r="J23" s="18"/>
      <c r="K23" s="18"/>
    </row>
    <row r="24" spans="2:11" ht="23.25" x14ac:dyDescent="0.35">
      <c r="B24" s="18"/>
      <c r="C24" s="18"/>
      <c r="D24" s="18"/>
      <c r="E24" s="18"/>
      <c r="F24" s="18"/>
      <c r="G24" s="18"/>
      <c r="H24" s="18"/>
      <c r="I24" s="18"/>
      <c r="J24" s="18"/>
      <c r="K24"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Normal="100" workbookViewId="0">
      <selection activeCell="G44" sqref="G4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C867-0289-4C49-8CAD-FEEA72AB570A}">
  <sheetPr>
    <tabColor rgb="FF00B050"/>
  </sheetPr>
  <dimension ref="C2:P33"/>
  <sheetViews>
    <sheetView workbookViewId="0">
      <selection activeCell="O18" sqref="O18:O24"/>
    </sheetView>
  </sheetViews>
  <sheetFormatPr defaultRowHeight="15" x14ac:dyDescent="0.25"/>
  <cols>
    <col min="3" max="6" width="23.42578125" customWidth="1"/>
    <col min="7" max="7" width="22.5703125" customWidth="1"/>
    <col min="14" max="14" width="25.5703125" customWidth="1"/>
    <col min="15" max="15" width="29.85546875" customWidth="1"/>
    <col min="16" max="16" width="14" customWidth="1"/>
  </cols>
  <sheetData>
    <row r="2" spans="3:16" ht="23.25" x14ac:dyDescent="0.35">
      <c r="C2" s="49" t="s">
        <v>62</v>
      </c>
      <c r="D2" s="50"/>
      <c r="E2" s="50"/>
      <c r="F2" s="50"/>
      <c r="G2" s="50"/>
      <c r="H2" s="50"/>
      <c r="I2" s="50"/>
      <c r="J2" s="18"/>
      <c r="K2" s="18"/>
    </row>
    <row r="3" spans="3:16" ht="87.75" customHeight="1" x14ac:dyDescent="0.35">
      <c r="C3" s="92" t="s">
        <v>63</v>
      </c>
      <c r="D3" s="92"/>
      <c r="E3" s="92"/>
      <c r="F3" s="92"/>
      <c r="G3" s="92"/>
      <c r="H3" s="92"/>
      <c r="I3" s="92"/>
      <c r="J3" s="18"/>
      <c r="K3" s="18"/>
    </row>
    <row r="4" spans="3:16" ht="30.75" customHeight="1" thickBot="1" x14ac:dyDescent="0.4">
      <c r="C4" s="18"/>
      <c r="D4" s="18"/>
      <c r="E4" s="18"/>
      <c r="F4" s="18"/>
      <c r="G4" s="18"/>
      <c r="H4" s="18"/>
      <c r="I4" s="18"/>
      <c r="J4" s="18"/>
      <c r="K4" s="18"/>
    </row>
    <row r="5" spans="3:16" ht="54" customHeight="1" thickBot="1" x14ac:dyDescent="0.4">
      <c r="C5" s="51" t="s">
        <v>4</v>
      </c>
      <c r="D5" s="52" t="s">
        <v>64</v>
      </c>
      <c r="E5" s="18"/>
      <c r="F5" s="18"/>
      <c r="G5" s="18"/>
      <c r="H5" s="18"/>
      <c r="I5" s="18"/>
      <c r="J5" s="18"/>
      <c r="K5" s="18"/>
      <c r="N5" s="52" t="s">
        <v>65</v>
      </c>
      <c r="O5" s="52" t="s">
        <v>66</v>
      </c>
      <c r="P5" s="52" t="s">
        <v>17</v>
      </c>
    </row>
    <row r="6" spans="3:16" ht="30.75" customHeight="1" thickTop="1" thickBot="1" x14ac:dyDescent="0.4">
      <c r="C6" s="53">
        <v>43</v>
      </c>
      <c r="D6" s="54">
        <v>5</v>
      </c>
      <c r="E6" s="18"/>
      <c r="F6" s="18"/>
      <c r="G6" s="18"/>
      <c r="H6" s="18"/>
      <c r="I6" s="18"/>
      <c r="J6" s="18"/>
      <c r="K6" s="18"/>
      <c r="N6" s="54">
        <v>0</v>
      </c>
      <c r="O6" s="54">
        <v>0.1</v>
      </c>
      <c r="P6" s="53">
        <v>43</v>
      </c>
    </row>
    <row r="7" spans="3:16" ht="30.75" customHeight="1" thickBot="1" x14ac:dyDescent="0.4">
      <c r="C7" s="55">
        <v>44</v>
      </c>
      <c r="D7" s="56">
        <v>10</v>
      </c>
      <c r="E7" s="18"/>
      <c r="F7" s="18"/>
      <c r="G7" s="18"/>
      <c r="H7" s="18"/>
      <c r="I7" s="18"/>
      <c r="J7" s="18"/>
      <c r="K7" s="18"/>
      <c r="N7" s="56">
        <v>0.1</v>
      </c>
      <c r="O7" s="56">
        <v>0.3</v>
      </c>
      <c r="P7" s="55">
        <v>44</v>
      </c>
    </row>
    <row r="8" spans="3:16" ht="30.75" customHeight="1" thickBot="1" x14ac:dyDescent="0.4">
      <c r="C8" s="55">
        <v>45</v>
      </c>
      <c r="D8" s="57">
        <v>20</v>
      </c>
      <c r="E8" s="18"/>
      <c r="F8" s="18"/>
      <c r="G8" s="18"/>
      <c r="H8" s="18"/>
      <c r="I8" s="18"/>
      <c r="J8" s="18"/>
      <c r="K8" s="18"/>
      <c r="N8" s="57">
        <v>0.3</v>
      </c>
      <c r="O8" s="57">
        <v>0.7</v>
      </c>
      <c r="P8" s="55">
        <v>45</v>
      </c>
    </row>
    <row r="9" spans="3:16" ht="24" thickBot="1" x14ac:dyDescent="0.4">
      <c r="C9" s="55">
        <v>46</v>
      </c>
      <c r="D9" s="56">
        <v>10</v>
      </c>
      <c r="E9" s="18"/>
      <c r="F9" s="18"/>
      <c r="G9" s="18"/>
      <c r="H9" s="18"/>
      <c r="I9" s="18"/>
      <c r="J9" s="18"/>
      <c r="K9" s="18"/>
      <c r="N9" s="56">
        <v>0.7</v>
      </c>
      <c r="O9" s="56">
        <v>0.9</v>
      </c>
      <c r="P9" s="55">
        <v>46</v>
      </c>
    </row>
    <row r="10" spans="3:16" ht="24" thickBot="1" x14ac:dyDescent="0.4">
      <c r="C10" s="55">
        <v>47</v>
      </c>
      <c r="D10" s="57">
        <v>5</v>
      </c>
      <c r="E10" s="18"/>
      <c r="F10" s="18"/>
      <c r="G10" s="18"/>
      <c r="H10" s="18"/>
      <c r="I10" s="18"/>
      <c r="J10" s="18"/>
      <c r="K10" s="18"/>
      <c r="N10" s="57">
        <v>0.9</v>
      </c>
      <c r="O10" s="57">
        <v>1</v>
      </c>
      <c r="P10" s="55">
        <v>47</v>
      </c>
    </row>
    <row r="11" spans="3:16" ht="24" thickBot="1" x14ac:dyDescent="0.4">
      <c r="C11" s="58"/>
      <c r="D11" s="59">
        <v>50</v>
      </c>
      <c r="E11" s="18"/>
      <c r="F11" s="18"/>
      <c r="G11" s="18"/>
      <c r="H11" s="18"/>
      <c r="I11" s="18"/>
      <c r="J11" s="18"/>
      <c r="K11" s="18"/>
    </row>
    <row r="12" spans="3:16" ht="23.25" x14ac:dyDescent="0.35">
      <c r="C12" s="18"/>
      <c r="D12" s="18"/>
      <c r="E12" s="18"/>
      <c r="F12" s="18"/>
      <c r="G12" s="18"/>
      <c r="H12" s="18"/>
      <c r="I12" s="18"/>
      <c r="J12" s="18"/>
      <c r="K12" s="18"/>
    </row>
    <row r="13" spans="3:16" ht="23.25" x14ac:dyDescent="0.35">
      <c r="C13" s="18"/>
      <c r="D13" s="18"/>
      <c r="E13" s="18"/>
      <c r="F13" s="18"/>
      <c r="G13" s="18"/>
      <c r="H13" s="18"/>
      <c r="I13" s="18"/>
      <c r="J13" s="18"/>
      <c r="K13" s="18"/>
    </row>
    <row r="14" spans="3:16" ht="23.25" x14ac:dyDescent="0.35">
      <c r="C14" s="50" t="s">
        <v>67</v>
      </c>
      <c r="D14" s="50"/>
      <c r="E14" s="50"/>
      <c r="F14" s="50"/>
      <c r="G14" s="50"/>
      <c r="H14" s="50"/>
      <c r="I14" s="50"/>
      <c r="J14" s="50"/>
      <c r="K14" s="50"/>
      <c r="L14" s="60"/>
      <c r="M14" s="60"/>
    </row>
    <row r="15" spans="3:16" ht="23.25" x14ac:dyDescent="0.35">
      <c r="C15" s="50" t="s">
        <v>68</v>
      </c>
      <c r="D15" s="50"/>
      <c r="E15" s="50"/>
      <c r="F15" s="50"/>
      <c r="G15" s="50"/>
      <c r="H15" s="50"/>
      <c r="I15" s="50"/>
      <c r="J15" s="50"/>
      <c r="K15" s="50"/>
      <c r="L15" s="60"/>
      <c r="M15" s="60"/>
    </row>
    <row r="16" spans="3:16" ht="24" thickBot="1" x14ac:dyDescent="0.4">
      <c r="C16" s="18"/>
      <c r="D16" s="18"/>
      <c r="E16" s="18"/>
      <c r="F16" s="18"/>
      <c r="G16" s="18"/>
      <c r="H16" s="18"/>
      <c r="I16" s="18"/>
      <c r="J16" s="18"/>
      <c r="K16" s="18"/>
      <c r="N16" s="49" t="s">
        <v>62</v>
      </c>
    </row>
    <row r="17" spans="3:15" ht="47.25" thickBot="1" x14ac:dyDescent="0.4">
      <c r="C17" s="51" t="s">
        <v>4</v>
      </c>
      <c r="D17" s="52" t="s">
        <v>64</v>
      </c>
      <c r="E17" s="52" t="s">
        <v>18</v>
      </c>
      <c r="F17" s="52" t="s">
        <v>69</v>
      </c>
      <c r="G17" s="52" t="s">
        <v>70</v>
      </c>
      <c r="H17" s="18"/>
      <c r="I17" s="18"/>
      <c r="J17" s="18"/>
      <c r="K17" s="18"/>
      <c r="M17" s="61"/>
      <c r="N17" s="66" t="s">
        <v>71</v>
      </c>
      <c r="O17" s="66" t="s">
        <v>72</v>
      </c>
    </row>
    <row r="18" spans="3:15" ht="24.75" thickTop="1" thickBot="1" x14ac:dyDescent="0.4">
      <c r="C18" s="53">
        <v>43</v>
      </c>
      <c r="D18" s="54">
        <v>5</v>
      </c>
      <c r="E18" s="54">
        <v>0.1</v>
      </c>
      <c r="F18" s="54">
        <v>0.1</v>
      </c>
      <c r="G18" s="54" t="s">
        <v>73</v>
      </c>
      <c r="H18" s="18"/>
      <c r="I18" s="18"/>
      <c r="J18" s="18"/>
      <c r="K18" s="18"/>
      <c r="M18" s="61">
        <v>1</v>
      </c>
      <c r="N18" s="67">
        <f ca="1">RAND()</f>
        <v>0.4041060576004285</v>
      </c>
      <c r="O18" s="45">
        <f ca="1">VLOOKUP(N18,$N$6:$P$10,3,TRUE)</f>
        <v>45</v>
      </c>
    </row>
    <row r="19" spans="3:15" ht="24" thickBot="1" x14ac:dyDescent="0.4">
      <c r="C19" s="55">
        <v>44</v>
      </c>
      <c r="D19" s="56">
        <v>10</v>
      </c>
      <c r="E19" s="56">
        <v>0.2</v>
      </c>
      <c r="F19" s="56">
        <v>0.3</v>
      </c>
      <c r="G19" s="56" t="s">
        <v>74</v>
      </c>
      <c r="H19" s="18"/>
      <c r="I19" s="18"/>
      <c r="J19" s="18"/>
      <c r="K19" s="18"/>
      <c r="M19" s="61">
        <v>2</v>
      </c>
      <c r="N19" s="67">
        <f t="shared" ref="N19:N24" ca="1" si="0">RAND()</f>
        <v>0.40530906180497406</v>
      </c>
      <c r="O19" s="45">
        <f t="shared" ref="O19:O24" ca="1" si="1">VLOOKUP(N19,$N$6:$P$10,3,TRUE)</f>
        <v>45</v>
      </c>
    </row>
    <row r="20" spans="3:15" ht="24" thickBot="1" x14ac:dyDescent="0.4">
      <c r="C20" s="55">
        <v>45</v>
      </c>
      <c r="D20" s="57">
        <v>20</v>
      </c>
      <c r="E20" s="57">
        <v>0.4</v>
      </c>
      <c r="F20" s="57">
        <v>0.7</v>
      </c>
      <c r="G20" s="57" t="s">
        <v>75</v>
      </c>
      <c r="H20" s="18"/>
      <c r="I20" s="18"/>
      <c r="J20" s="18"/>
      <c r="K20" s="18"/>
      <c r="M20" s="61">
        <v>3</v>
      </c>
      <c r="N20" s="67">
        <f t="shared" ca="1" si="0"/>
        <v>0.34149511193949356</v>
      </c>
      <c r="O20" s="45">
        <f t="shared" ca="1" si="1"/>
        <v>45</v>
      </c>
    </row>
    <row r="21" spans="3:15" ht="24" thickBot="1" x14ac:dyDescent="0.4">
      <c r="C21" s="55">
        <v>46</v>
      </c>
      <c r="D21" s="56">
        <v>10</v>
      </c>
      <c r="E21" s="56">
        <v>0.2</v>
      </c>
      <c r="F21" s="56">
        <v>0.9</v>
      </c>
      <c r="G21" s="56" t="s">
        <v>76</v>
      </c>
      <c r="H21" s="18"/>
      <c r="I21" s="18"/>
      <c r="J21" s="18"/>
      <c r="K21" s="18"/>
      <c r="M21" s="61">
        <v>4</v>
      </c>
      <c r="N21" s="67">
        <f t="shared" ca="1" si="0"/>
        <v>0.46923420149479178</v>
      </c>
      <c r="O21" s="45">
        <f t="shared" ca="1" si="1"/>
        <v>45</v>
      </c>
    </row>
    <row r="22" spans="3:15" ht="24" thickBot="1" x14ac:dyDescent="0.4">
      <c r="C22" s="55">
        <v>47</v>
      </c>
      <c r="D22" s="57">
        <v>5</v>
      </c>
      <c r="E22" s="57">
        <v>0.1</v>
      </c>
      <c r="F22" s="57">
        <v>1</v>
      </c>
      <c r="G22" s="57" t="s">
        <v>77</v>
      </c>
      <c r="H22" s="18"/>
      <c r="I22" s="18"/>
      <c r="J22" s="18"/>
      <c r="K22" s="18"/>
      <c r="M22" s="61">
        <v>5</v>
      </c>
      <c r="N22" s="67">
        <f t="shared" ca="1" si="0"/>
        <v>7.3319808870092817E-2</v>
      </c>
      <c r="O22" s="45">
        <f t="shared" ca="1" si="1"/>
        <v>43</v>
      </c>
    </row>
    <row r="23" spans="3:15" ht="24" thickBot="1" x14ac:dyDescent="0.4">
      <c r="C23" s="58"/>
      <c r="D23" s="59">
        <v>50</v>
      </c>
      <c r="E23" s="59">
        <v>1</v>
      </c>
      <c r="F23" s="62"/>
      <c r="G23" s="62"/>
      <c r="H23" s="18"/>
      <c r="I23" s="18"/>
      <c r="J23" s="18"/>
      <c r="K23" s="18"/>
      <c r="M23" s="61">
        <v>6</v>
      </c>
      <c r="N23" s="67">
        <f ca="1">RAND()</f>
        <v>0.59583086817510822</v>
      </c>
      <c r="O23" s="45">
        <f t="shared" ca="1" si="1"/>
        <v>45</v>
      </c>
    </row>
    <row r="24" spans="3:15" ht="23.25" x14ac:dyDescent="0.35">
      <c r="C24" s="18"/>
      <c r="D24" s="18"/>
      <c r="E24" s="18"/>
      <c r="F24" s="18"/>
      <c r="G24" s="18"/>
      <c r="H24" s="18"/>
      <c r="I24" s="18"/>
      <c r="J24" s="18"/>
      <c r="K24" s="18"/>
      <c r="M24" s="61">
        <v>7</v>
      </c>
      <c r="N24" s="67">
        <f t="shared" ca="1" si="0"/>
        <v>0.47948593678917961</v>
      </c>
      <c r="O24" s="45">
        <f t="shared" ca="1" si="1"/>
        <v>45</v>
      </c>
    </row>
    <row r="25" spans="3:15" ht="23.25" x14ac:dyDescent="0.35">
      <c r="C25" s="93" t="s">
        <v>78</v>
      </c>
      <c r="D25" s="93"/>
      <c r="E25" s="93"/>
      <c r="F25" s="93"/>
      <c r="G25" s="93"/>
      <c r="H25" s="93"/>
      <c r="I25" s="93"/>
      <c r="J25" s="18"/>
      <c r="K25" s="18"/>
    </row>
    <row r="26" spans="3:15" ht="23.25" x14ac:dyDescent="0.35">
      <c r="C26" s="93"/>
      <c r="D26" s="93"/>
      <c r="E26" s="93"/>
      <c r="F26" s="93"/>
      <c r="G26" s="93"/>
      <c r="H26" s="93"/>
      <c r="I26" s="93"/>
      <c r="J26" s="18"/>
      <c r="K26" s="18"/>
    </row>
    <row r="27" spans="3:15" ht="46.5" customHeight="1" x14ac:dyDescent="0.35">
      <c r="C27" s="93" t="s">
        <v>79</v>
      </c>
      <c r="D27" s="93"/>
      <c r="E27" s="93"/>
      <c r="F27" s="93"/>
      <c r="G27" s="93"/>
      <c r="H27" s="93"/>
      <c r="I27" s="93"/>
      <c r="J27" s="18"/>
      <c r="K27" s="18"/>
    </row>
    <row r="28" spans="3:15" ht="23.25" x14ac:dyDescent="0.35">
      <c r="C28" s="63" t="s">
        <v>80</v>
      </c>
      <c r="D28" s="63"/>
      <c r="E28" s="63"/>
      <c r="F28" s="63"/>
      <c r="G28" s="63"/>
      <c r="H28" s="63"/>
      <c r="I28" s="63"/>
      <c r="J28" s="18"/>
      <c r="K28" s="18"/>
    </row>
    <row r="29" spans="3:15" ht="31.5" customHeight="1" x14ac:dyDescent="0.35">
      <c r="C29" s="63" t="s">
        <v>81</v>
      </c>
      <c r="D29" s="63"/>
      <c r="E29" s="63"/>
      <c r="F29" s="63"/>
      <c r="G29" s="63"/>
      <c r="H29" s="63"/>
      <c r="I29" s="63"/>
      <c r="J29" s="18"/>
      <c r="K29" s="18"/>
    </row>
    <row r="30" spans="3:15" ht="21" x14ac:dyDescent="0.35">
      <c r="C30" s="63"/>
      <c r="D30" s="63"/>
      <c r="E30" s="63"/>
      <c r="F30" s="63"/>
      <c r="G30" s="63"/>
      <c r="H30" s="63"/>
      <c r="I30" s="63"/>
    </row>
    <row r="31" spans="3:15" x14ac:dyDescent="0.25">
      <c r="C31" s="93" t="s">
        <v>82</v>
      </c>
      <c r="D31" s="93"/>
      <c r="E31" s="93"/>
      <c r="F31" s="93"/>
      <c r="G31" s="93"/>
      <c r="H31" s="93"/>
      <c r="I31" s="93"/>
    </row>
    <row r="32" spans="3:15" x14ac:dyDescent="0.25">
      <c r="C32" s="93"/>
      <c r="D32" s="93"/>
      <c r="E32" s="93"/>
      <c r="F32" s="93"/>
      <c r="G32" s="93"/>
      <c r="H32" s="93"/>
      <c r="I32" s="93"/>
    </row>
    <row r="33" spans="3:9" x14ac:dyDescent="0.25">
      <c r="C33" s="93"/>
      <c r="D33" s="93"/>
      <c r="E33" s="93"/>
      <c r="F33" s="93"/>
      <c r="G33" s="93"/>
      <c r="H33" s="93"/>
      <c r="I33" s="93"/>
    </row>
  </sheetData>
  <mergeCells count="4">
    <mergeCell ref="C3:I3"/>
    <mergeCell ref="C25:I26"/>
    <mergeCell ref="C27:I27"/>
    <mergeCell ref="C31:I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8A3A-5256-458D-A615-829025BF0B25}">
  <sheetPr>
    <tabColor rgb="FF00B050"/>
  </sheetPr>
  <dimension ref="A1:AA26"/>
  <sheetViews>
    <sheetView showGridLines="0" workbookViewId="0">
      <selection activeCell="Y14" sqref="Y14"/>
    </sheetView>
  </sheetViews>
  <sheetFormatPr defaultColWidth="8.7109375" defaultRowHeight="15.75" x14ac:dyDescent="0.25"/>
  <cols>
    <col min="1" max="1" width="4.5703125" style="5" customWidth="1"/>
    <col min="2" max="2" width="26.140625" style="5" customWidth="1"/>
    <col min="3" max="8" width="10.7109375" style="5" customWidth="1"/>
    <col min="9" max="9" width="13" style="5" customWidth="1"/>
    <col min="10" max="10" width="4.140625" style="5" customWidth="1"/>
    <col min="11" max="11" width="4.5703125" style="5" customWidth="1"/>
    <col min="12" max="12" width="29.42578125" style="5" customWidth="1"/>
    <col min="13" max="14" width="10.42578125" style="5" customWidth="1"/>
    <col min="15" max="16" width="4.5703125" style="5" customWidth="1"/>
    <col min="17" max="17" width="7.85546875" style="5" customWidth="1"/>
    <col min="18" max="18" width="9.140625" style="5" customWidth="1"/>
    <col min="19" max="19" width="62.85546875" style="43" customWidth="1"/>
    <col min="20" max="20" width="6.7109375" style="5" customWidth="1"/>
    <col min="21" max="21" width="11.5703125" style="5" customWidth="1"/>
    <col min="22" max="22" width="17" style="5" customWidth="1"/>
    <col min="23" max="23" width="17.85546875" style="5" customWidth="1"/>
    <col min="24" max="24" width="37.140625" style="5" customWidth="1"/>
    <col min="25" max="25" width="14.85546875" style="5" customWidth="1"/>
    <col min="26" max="26" width="18.28515625" style="5" customWidth="1"/>
    <col min="27" max="27" width="34.140625" style="5" customWidth="1"/>
    <col min="28" max="16384" width="8.7109375" style="5"/>
  </cols>
  <sheetData>
    <row r="1" spans="2:27" x14ac:dyDescent="0.25">
      <c r="J1" s="42"/>
      <c r="T1" s="42"/>
    </row>
    <row r="2" spans="2:27" ht="18.75" x14ac:dyDescent="0.3">
      <c r="B2" s="2" t="s">
        <v>32</v>
      </c>
      <c r="J2" s="42"/>
      <c r="T2" s="42"/>
    </row>
    <row r="3" spans="2:27" ht="23.25" x14ac:dyDescent="0.35">
      <c r="F3" s="16" t="s">
        <v>47</v>
      </c>
      <c r="H3" s="7"/>
      <c r="J3" s="42"/>
      <c r="L3" s="16" t="s">
        <v>48</v>
      </c>
      <c r="N3" s="16"/>
      <c r="T3" s="42"/>
      <c r="W3" s="16" t="s">
        <v>49</v>
      </c>
    </row>
    <row r="4" spans="2:27" x14ac:dyDescent="0.25">
      <c r="B4" s="4"/>
      <c r="H4" s="7"/>
      <c r="J4" s="42"/>
      <c r="T4" s="42"/>
    </row>
    <row r="5" spans="2:27" ht="18.75" x14ac:dyDescent="0.3">
      <c r="B5" s="14" t="s">
        <v>4</v>
      </c>
      <c r="C5" s="3"/>
      <c r="D5" s="3"/>
      <c r="E5" s="3"/>
      <c r="F5" s="15" t="s">
        <v>28</v>
      </c>
      <c r="G5" s="15"/>
      <c r="H5" s="3"/>
      <c r="I5" s="3"/>
      <c r="J5" s="44"/>
      <c r="K5" s="3"/>
      <c r="L5" s="14" t="s">
        <v>39</v>
      </c>
      <c r="M5" s="3"/>
      <c r="N5" s="3"/>
      <c r="O5" s="3"/>
      <c r="S5" s="24"/>
      <c r="T5" s="44"/>
      <c r="W5" s="14" t="s">
        <v>40</v>
      </c>
      <c r="X5" s="3"/>
      <c r="Y5" s="3"/>
    </row>
    <row r="6" spans="2:27" x14ac:dyDescent="0.25">
      <c r="B6" s="8"/>
      <c r="F6" s="13"/>
      <c r="G6" s="13"/>
      <c r="J6" s="42"/>
      <c r="L6" s="8"/>
      <c r="T6" s="42"/>
      <c r="W6" s="8"/>
    </row>
    <row r="7" spans="2:27" x14ac:dyDescent="0.25">
      <c r="D7" s="9" t="s">
        <v>19</v>
      </c>
      <c r="F7" s="9" t="s">
        <v>23</v>
      </c>
      <c r="G7" s="9" t="s">
        <v>22</v>
      </c>
      <c r="J7" s="42"/>
      <c r="M7" s="9" t="s">
        <v>23</v>
      </c>
      <c r="N7" s="9" t="s">
        <v>22</v>
      </c>
      <c r="T7" s="42"/>
      <c r="X7" s="9"/>
      <c r="Y7" s="9" t="s">
        <v>26</v>
      </c>
    </row>
    <row r="8" spans="2:27" x14ac:dyDescent="0.25">
      <c r="B8" s="9" t="s">
        <v>17</v>
      </c>
      <c r="C8" s="9" t="s">
        <v>18</v>
      </c>
      <c r="D8" s="9" t="s">
        <v>20</v>
      </c>
      <c r="F8" s="10" t="s">
        <v>24</v>
      </c>
      <c r="G8" s="10" t="s">
        <v>24</v>
      </c>
      <c r="H8" s="10" t="s">
        <v>17</v>
      </c>
      <c r="J8" s="42"/>
      <c r="M8" s="9" t="s">
        <v>24</v>
      </c>
      <c r="N8" s="9" t="s">
        <v>24</v>
      </c>
      <c r="T8" s="42"/>
      <c r="X8" s="9" t="s">
        <v>25</v>
      </c>
      <c r="Y8" s="9" t="s">
        <v>27</v>
      </c>
    </row>
    <row r="9" spans="2:27" ht="21" x14ac:dyDescent="0.35">
      <c r="B9" s="11">
        <v>43</v>
      </c>
      <c r="C9" s="12">
        <v>0.1</v>
      </c>
      <c r="D9" s="45">
        <v>0.1</v>
      </c>
      <c r="F9" s="45">
        <v>0</v>
      </c>
      <c r="G9" s="45">
        <v>0.1</v>
      </c>
      <c r="H9" s="11">
        <f>B9</f>
        <v>43</v>
      </c>
      <c r="J9" s="42"/>
      <c r="L9" s="9" t="s">
        <v>21</v>
      </c>
      <c r="M9" s="45">
        <v>80</v>
      </c>
      <c r="N9" s="45">
        <v>100</v>
      </c>
      <c r="T9" s="42"/>
      <c r="W9" s="5" t="s">
        <v>30</v>
      </c>
      <c r="X9" s="45">
        <v>15000</v>
      </c>
      <c r="Y9" s="45">
        <v>4500</v>
      </c>
    </row>
    <row r="10" spans="2:27" ht="21" x14ac:dyDescent="0.35">
      <c r="B10" s="11">
        <v>44</v>
      </c>
      <c r="C10" s="12">
        <v>0.2</v>
      </c>
      <c r="D10" s="45">
        <v>0.3</v>
      </c>
      <c r="F10" s="45">
        <v>0.1</v>
      </c>
      <c r="G10" s="45">
        <v>0.3</v>
      </c>
      <c r="H10" s="11">
        <f t="shared" ref="H10:H13" si="0">B10</f>
        <v>44</v>
      </c>
      <c r="J10" s="42"/>
      <c r="T10" s="42"/>
      <c r="W10" s="5" t="s">
        <v>31</v>
      </c>
      <c r="X10" s="45">
        <v>11000</v>
      </c>
      <c r="Y10" s="45">
        <v>4500</v>
      </c>
    </row>
    <row r="11" spans="2:27" ht="21" x14ac:dyDescent="0.35">
      <c r="B11" s="11">
        <v>45</v>
      </c>
      <c r="C11" s="12">
        <v>0.4</v>
      </c>
      <c r="D11" s="45">
        <v>0.7</v>
      </c>
      <c r="F11" s="45">
        <v>0.3</v>
      </c>
      <c r="G11" s="45">
        <v>0.7</v>
      </c>
      <c r="H11" s="11">
        <f t="shared" si="0"/>
        <v>45</v>
      </c>
      <c r="J11" s="42"/>
      <c r="T11" s="42"/>
    </row>
    <row r="12" spans="2:27" ht="21" x14ac:dyDescent="0.35">
      <c r="B12" s="11">
        <v>46</v>
      </c>
      <c r="C12" s="12">
        <v>0.2</v>
      </c>
      <c r="D12" s="45">
        <v>0.9</v>
      </c>
      <c r="F12" s="45">
        <v>0.7</v>
      </c>
      <c r="G12" s="45">
        <v>0.9</v>
      </c>
      <c r="H12" s="11">
        <f t="shared" si="0"/>
        <v>46</v>
      </c>
      <c r="J12" s="42"/>
      <c r="T12" s="42"/>
    </row>
    <row r="13" spans="2:27" ht="21" customHeight="1" x14ac:dyDescent="0.35">
      <c r="B13" s="11">
        <v>47</v>
      </c>
      <c r="C13" s="12">
        <v>0.1</v>
      </c>
      <c r="D13" s="45">
        <v>1</v>
      </c>
      <c r="F13" s="45">
        <v>0.9</v>
      </c>
      <c r="G13" s="45">
        <v>1</v>
      </c>
      <c r="H13" s="11">
        <f t="shared" si="0"/>
        <v>47</v>
      </c>
      <c r="J13" s="42"/>
      <c r="L13" s="41" t="s">
        <v>5</v>
      </c>
      <c r="M13" s="46">
        <f ca="1">RAND()</f>
        <v>0.85992567212021609</v>
      </c>
      <c r="N13" s="68">
        <f ca="1">M9+(N9-M9)*M13</f>
        <v>97.19851344240432</v>
      </c>
      <c r="O13" s="94" t="s">
        <v>29</v>
      </c>
      <c r="P13" s="95"/>
      <c r="Q13" s="95"/>
      <c r="R13" s="95"/>
      <c r="T13" s="42"/>
    </row>
    <row r="14" spans="2:27" ht="21" x14ac:dyDescent="0.35">
      <c r="J14" s="42"/>
      <c r="T14" s="42"/>
      <c r="X14" s="41" t="s">
        <v>52</v>
      </c>
      <c r="Y14" s="46">
        <f ca="1">RAND()</f>
        <v>0.80098361189394973</v>
      </c>
      <c r="Z14" s="70">
        <f ca="1">MAX(0,_xlfn.NORM.INV(Y14,15000,4500))</f>
        <v>18803.129203263376</v>
      </c>
      <c r="AA14" s="28" t="s">
        <v>33</v>
      </c>
    </row>
    <row r="15" spans="2:27" ht="21" x14ac:dyDescent="0.35">
      <c r="J15" s="42"/>
      <c r="T15" s="42"/>
      <c r="X15" s="41" t="s">
        <v>53</v>
      </c>
      <c r="Y15" s="46">
        <f ca="1">RAND()</f>
        <v>0.5509127243041545</v>
      </c>
      <c r="Z15" s="70">
        <f ca="1">MAX(0,_xlfn.NORM.INV(Y15,11000,4500))</f>
        <v>11575.854553985431</v>
      </c>
      <c r="AA15" s="28" t="s">
        <v>33</v>
      </c>
    </row>
    <row r="16" spans="2:27" ht="18.75" x14ac:dyDescent="0.3">
      <c r="B16" s="29" t="s">
        <v>13</v>
      </c>
      <c r="C16" s="30"/>
      <c r="D16" s="30"/>
      <c r="E16" s="30"/>
      <c r="F16" s="30"/>
      <c r="G16" s="3"/>
      <c r="H16" s="3"/>
      <c r="J16" s="42"/>
      <c r="T16" s="42"/>
    </row>
    <row r="17" spans="1:23" ht="42" customHeight="1" x14ac:dyDescent="0.35">
      <c r="B17" s="41" t="s">
        <v>4</v>
      </c>
      <c r="C17" s="41"/>
      <c r="D17" s="46">
        <f ca="1">RAND()</f>
        <v>0.52059796598092467</v>
      </c>
      <c r="E17" s="69">
        <f ca="1">VLOOKUP(D17,$F$9:$H$13,3,TRUE)</f>
        <v>45</v>
      </c>
      <c r="F17" s="96" t="s">
        <v>51</v>
      </c>
      <c r="G17" s="97"/>
      <c r="H17" s="97"/>
      <c r="I17" s="27"/>
      <c r="J17" s="47"/>
      <c r="K17" s="27"/>
      <c r="S17" s="48"/>
      <c r="T17" s="47"/>
      <c r="W17" s="27"/>
    </row>
    <row r="18" spans="1:23" ht="44.25" customHeight="1" x14ac:dyDescent="0.25">
      <c r="J18" s="42"/>
      <c r="T18" s="42"/>
    </row>
    <row r="19" spans="1:23" ht="21" x14ac:dyDescent="0.35">
      <c r="A19" s="31"/>
      <c r="B19" s="32"/>
      <c r="C19" s="31"/>
      <c r="J19" s="42"/>
      <c r="T19" s="42"/>
    </row>
    <row r="20" spans="1:23" x14ac:dyDescent="0.25">
      <c r="J20" s="42"/>
      <c r="T20" s="42"/>
    </row>
    <row r="21" spans="1:23" x14ac:dyDescent="0.25">
      <c r="J21" s="42"/>
      <c r="T21" s="42"/>
    </row>
    <row r="22" spans="1:23" x14ac:dyDescent="0.25">
      <c r="J22" s="42"/>
      <c r="T22" s="42"/>
    </row>
    <row r="23" spans="1:23" x14ac:dyDescent="0.25">
      <c r="J23" s="42"/>
      <c r="T23" s="42"/>
    </row>
    <row r="24" spans="1:23" x14ac:dyDescent="0.25">
      <c r="J24" s="42"/>
      <c r="T24" s="42"/>
    </row>
    <row r="25" spans="1:23" x14ac:dyDescent="0.25">
      <c r="J25" s="42"/>
      <c r="T25" s="42"/>
    </row>
    <row r="26" spans="1:23" x14ac:dyDescent="0.25">
      <c r="J26" s="42"/>
      <c r="T26" s="42"/>
    </row>
  </sheetData>
  <mergeCells count="2">
    <mergeCell ref="O13:R13"/>
    <mergeCell ref="F17:H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J32"/>
  <sheetViews>
    <sheetView showGridLines="0" tabSelected="1" zoomScaleNormal="100" workbookViewId="0">
      <selection activeCell="V27" sqref="V27"/>
    </sheetView>
  </sheetViews>
  <sheetFormatPr defaultRowHeight="15" x14ac:dyDescent="0.25"/>
  <cols>
    <col min="1" max="1" width="4.5703125" customWidth="1"/>
    <col min="2" max="2" width="39.42578125" customWidth="1"/>
    <col min="3" max="3" width="14.28515625" customWidth="1"/>
    <col min="4" max="4" width="4.5703125" customWidth="1"/>
    <col min="5" max="5" width="3" customWidth="1"/>
    <col min="6" max="6" width="4.5703125" customWidth="1"/>
    <col min="7" max="7" width="41.85546875" customWidth="1"/>
    <col min="8" max="8" width="10" bestFit="1" customWidth="1"/>
    <col min="9" max="9" width="55.140625" customWidth="1"/>
    <col min="11" max="11" width="12.42578125" customWidth="1"/>
  </cols>
  <sheetData>
    <row r="1" spans="1:10" ht="18.75" x14ac:dyDescent="0.3">
      <c r="A1" s="1"/>
      <c r="B1" s="64"/>
      <c r="C1" s="64"/>
      <c r="D1" s="64"/>
      <c r="E1" s="64"/>
      <c r="F1" s="64"/>
      <c r="G1" s="64"/>
      <c r="H1" s="64"/>
      <c r="I1" s="64"/>
      <c r="J1" s="2"/>
    </row>
    <row r="2" spans="1:10" ht="18.600000000000001" customHeight="1" x14ac:dyDescent="0.35">
      <c r="A2" s="1"/>
      <c r="B2" s="27" t="s">
        <v>1</v>
      </c>
      <c r="C2" s="27"/>
      <c r="D2" s="27"/>
      <c r="E2" s="71"/>
      <c r="F2" s="27"/>
      <c r="G2" s="72" t="s">
        <v>2</v>
      </c>
      <c r="H2" s="73"/>
      <c r="I2" s="73"/>
      <c r="J2" s="2"/>
    </row>
    <row r="3" spans="1:10" ht="15.6" customHeight="1" x14ac:dyDescent="0.35">
      <c r="A3" s="1"/>
      <c r="B3" s="73"/>
      <c r="C3" s="73"/>
      <c r="D3" s="73"/>
      <c r="E3" s="74"/>
      <c r="F3" s="73"/>
      <c r="G3" s="27" t="s">
        <v>3</v>
      </c>
      <c r="H3" s="27"/>
      <c r="I3" s="73"/>
      <c r="J3" s="2"/>
    </row>
    <row r="4" spans="1:10" ht="27.75" customHeight="1" x14ac:dyDescent="0.35">
      <c r="A4" s="1"/>
      <c r="B4" s="75" t="s">
        <v>41</v>
      </c>
      <c r="C4" s="76">
        <f ca="1">H10-H4-H5</f>
        <v>112.4944728122035</v>
      </c>
      <c r="D4" s="73"/>
      <c r="E4" s="74"/>
      <c r="F4" s="73"/>
      <c r="G4" s="77" t="s">
        <v>4</v>
      </c>
      <c r="H4" s="41">
        <f ca="1">VLOOKUP(RAND(),'5.Distributions'!F9:H13,3,TRUE)</f>
        <v>45</v>
      </c>
      <c r="I4" s="87" t="s">
        <v>50</v>
      </c>
      <c r="J4" s="2"/>
    </row>
    <row r="5" spans="1:10" ht="33" customHeight="1" x14ac:dyDescent="0.35">
      <c r="A5" s="1"/>
      <c r="B5" s="78"/>
      <c r="C5" s="73"/>
      <c r="D5" s="73"/>
      <c r="E5" s="74"/>
      <c r="F5" s="73"/>
      <c r="G5" s="77" t="s">
        <v>5</v>
      </c>
      <c r="H5" s="79">
        <f ca="1">'5.Distributions'!M9+('5.Distributions'!N9-'5.Distributions'!M9)*RAND()</f>
        <v>91.505527187796503</v>
      </c>
      <c r="I5" s="88" t="s">
        <v>29</v>
      </c>
      <c r="J5" s="2"/>
    </row>
    <row r="6" spans="1:10" ht="21" x14ac:dyDescent="0.35">
      <c r="A6" s="1"/>
      <c r="B6" s="80" t="s">
        <v>42</v>
      </c>
      <c r="C6" s="81">
        <f ca="1">(C4*H6-(H14+H15)*1000000)</f>
        <v>1591774.2271193014</v>
      </c>
      <c r="D6" s="73"/>
      <c r="E6" s="74"/>
      <c r="F6" s="73"/>
      <c r="G6" s="77" t="s">
        <v>6</v>
      </c>
      <c r="H6" s="82">
        <f ca="1">IF(Selling_price_per_unit=249,MAX(0,_xlfn.NORM.INV(RAND(),15000,4500),MAX(0,_xlfn.NORM.INV(RAND(),11000,4500))))</f>
        <v>23039.125055023535</v>
      </c>
      <c r="I6" s="88" t="s">
        <v>33</v>
      </c>
      <c r="J6" s="2"/>
    </row>
    <row r="7" spans="1:10" ht="20.25" x14ac:dyDescent="0.3">
      <c r="A7" s="1"/>
      <c r="B7" s="73"/>
      <c r="C7" s="73"/>
      <c r="D7" s="73"/>
      <c r="E7" s="74"/>
      <c r="F7" s="73"/>
      <c r="G7" s="73"/>
      <c r="H7" s="73"/>
      <c r="I7" s="73"/>
      <c r="J7" s="2"/>
    </row>
    <row r="8" spans="1:10" ht="21" x14ac:dyDescent="0.35">
      <c r="A8" s="1"/>
      <c r="B8" s="73"/>
      <c r="C8" s="73"/>
      <c r="D8" s="73"/>
      <c r="E8" s="74"/>
      <c r="F8" s="73"/>
      <c r="G8" s="27"/>
      <c r="H8" s="27"/>
      <c r="I8" s="73"/>
      <c r="J8" s="2"/>
    </row>
    <row r="9" spans="1:10" ht="21" x14ac:dyDescent="0.35">
      <c r="A9" s="1"/>
      <c r="B9" s="73"/>
      <c r="C9" s="73"/>
      <c r="D9" s="73"/>
      <c r="E9" s="74"/>
      <c r="F9" s="73"/>
      <c r="G9" s="27" t="s">
        <v>7</v>
      </c>
      <c r="H9" s="27"/>
      <c r="I9" s="73"/>
      <c r="J9" s="2"/>
    </row>
    <row r="10" spans="1:10" ht="21" x14ac:dyDescent="0.35">
      <c r="A10" s="1"/>
      <c r="B10" s="73"/>
      <c r="C10" s="73"/>
      <c r="D10" s="73"/>
      <c r="E10" s="74"/>
      <c r="F10" s="73"/>
      <c r="G10" s="83" t="s">
        <v>43</v>
      </c>
      <c r="H10" s="84">
        <v>249</v>
      </c>
      <c r="I10" s="73"/>
      <c r="J10" s="2"/>
    </row>
    <row r="11" spans="1:10" ht="20.25" x14ac:dyDescent="0.3">
      <c r="A11" s="1"/>
      <c r="B11" s="73"/>
      <c r="C11" s="73"/>
      <c r="D11" s="73"/>
      <c r="E11" s="74"/>
      <c r="F11" s="73"/>
      <c r="G11" s="73"/>
      <c r="H11" s="73"/>
      <c r="I11" s="73"/>
      <c r="J11" s="2"/>
    </row>
    <row r="12" spans="1:10" ht="20.25" x14ac:dyDescent="0.3">
      <c r="A12" s="1"/>
      <c r="B12" s="73"/>
      <c r="C12" s="73"/>
      <c r="D12" s="73"/>
      <c r="E12" s="74"/>
      <c r="F12" s="73"/>
      <c r="G12" s="73"/>
      <c r="H12" s="73"/>
      <c r="I12" s="73"/>
      <c r="J12" s="2"/>
    </row>
    <row r="13" spans="1:10" ht="21" x14ac:dyDescent="0.35">
      <c r="A13" s="1"/>
      <c r="B13" s="73"/>
      <c r="C13" s="73"/>
      <c r="D13" s="73"/>
      <c r="E13" s="74"/>
      <c r="F13" s="73"/>
      <c r="G13" s="27" t="s">
        <v>8</v>
      </c>
      <c r="H13" s="27"/>
      <c r="I13" s="73"/>
      <c r="J13" s="2"/>
    </row>
    <row r="14" spans="1:10" ht="21" x14ac:dyDescent="0.35">
      <c r="A14" s="1"/>
      <c r="B14" s="27"/>
      <c r="C14" s="27"/>
      <c r="D14" s="73"/>
      <c r="E14" s="74"/>
      <c r="F14" s="73"/>
      <c r="G14" s="85" t="s">
        <v>44</v>
      </c>
      <c r="H14" s="86">
        <v>0.35</v>
      </c>
      <c r="I14" s="73"/>
      <c r="J14" s="2"/>
    </row>
    <row r="15" spans="1:10" ht="21" x14ac:dyDescent="0.35">
      <c r="A15" s="1"/>
      <c r="B15" s="73"/>
      <c r="C15" s="73"/>
      <c r="D15" s="73"/>
      <c r="E15" s="74"/>
      <c r="F15" s="73"/>
      <c r="G15" s="85" t="s">
        <v>45</v>
      </c>
      <c r="H15" s="86">
        <v>0.65</v>
      </c>
      <c r="I15" s="73"/>
      <c r="J15" s="2"/>
    </row>
    <row r="16" spans="1:10" ht="20.25" x14ac:dyDescent="0.3">
      <c r="A16" s="1"/>
      <c r="B16" s="73"/>
      <c r="C16" s="73"/>
      <c r="D16" s="73"/>
      <c r="E16" s="74"/>
      <c r="F16" s="73"/>
      <c r="G16" s="73"/>
      <c r="H16" s="73"/>
      <c r="I16" s="73"/>
      <c r="J16" s="2"/>
    </row>
    <row r="17" spans="1:10" ht="21" x14ac:dyDescent="0.35">
      <c r="A17" s="1"/>
      <c r="B17" s="73"/>
      <c r="C17" s="73"/>
      <c r="D17" s="73"/>
      <c r="E17" s="74"/>
      <c r="F17" s="73"/>
      <c r="G17" s="27" t="s">
        <v>34</v>
      </c>
      <c r="H17" s="27"/>
      <c r="I17" s="73"/>
      <c r="J17" s="2"/>
    </row>
    <row r="18" spans="1:10" ht="21" x14ac:dyDescent="0.35">
      <c r="B18" s="27"/>
      <c r="C18" s="27"/>
      <c r="D18" s="27"/>
      <c r="E18" s="74"/>
      <c r="F18" s="27"/>
      <c r="G18" s="98" t="s">
        <v>35</v>
      </c>
      <c r="H18" s="98"/>
      <c r="I18" s="98"/>
      <c r="J18" s="2"/>
    </row>
    <row r="19" spans="1:10" ht="15.6" customHeight="1" x14ac:dyDescent="0.35">
      <c r="B19" s="27"/>
      <c r="C19" s="27"/>
      <c r="D19" s="27"/>
      <c r="E19" s="74"/>
      <c r="F19" s="27"/>
      <c r="G19" s="98"/>
      <c r="H19" s="98"/>
      <c r="I19" s="98"/>
      <c r="J19" s="2"/>
    </row>
    <row r="20" spans="1:10" ht="21" x14ac:dyDescent="0.35">
      <c r="B20" s="27"/>
      <c r="C20" s="27"/>
      <c r="D20" s="27"/>
      <c r="E20" s="74"/>
      <c r="F20" s="27"/>
      <c r="G20" s="27"/>
      <c r="H20" s="27"/>
      <c r="I20" s="27"/>
      <c r="J20" s="2"/>
    </row>
    <row r="21" spans="1:10" ht="21" x14ac:dyDescent="0.35">
      <c r="B21" s="27"/>
      <c r="C21" s="27"/>
      <c r="D21" s="27"/>
      <c r="E21" s="74"/>
      <c r="F21" s="27"/>
      <c r="G21" s="27"/>
      <c r="H21" s="27"/>
      <c r="I21" s="27"/>
      <c r="J21" s="2"/>
    </row>
    <row r="22" spans="1:10" ht="18.75" x14ac:dyDescent="0.3">
      <c r="B22" s="2"/>
      <c r="C22" s="2"/>
      <c r="D22" s="2"/>
      <c r="E22" s="65"/>
      <c r="F22" s="2"/>
      <c r="G22" s="2"/>
      <c r="H22" s="2"/>
      <c r="I22" s="64"/>
      <c r="J22" s="2"/>
    </row>
    <row r="23" spans="1:10" ht="18.75" x14ac:dyDescent="0.3">
      <c r="B23" s="2"/>
      <c r="C23" s="2"/>
      <c r="D23" s="2"/>
      <c r="E23" s="65"/>
      <c r="F23" s="2"/>
      <c r="G23" s="2"/>
      <c r="H23" s="2"/>
      <c r="I23" s="64"/>
      <c r="J23" s="2"/>
    </row>
    <row r="24" spans="1:10" ht="14.65" customHeight="1" x14ac:dyDescent="0.3">
      <c r="B24" s="2"/>
      <c r="C24" s="2"/>
      <c r="D24" s="2"/>
      <c r="E24" s="65"/>
      <c r="F24" s="2"/>
      <c r="G24" s="2"/>
      <c r="H24" s="2"/>
      <c r="I24" s="2"/>
      <c r="J24" s="2"/>
    </row>
    <row r="25" spans="1:10" ht="14.65" customHeight="1" x14ac:dyDescent="0.3">
      <c r="B25" s="2"/>
      <c r="C25" s="2"/>
      <c r="D25" s="2"/>
      <c r="E25" s="65"/>
      <c r="F25" s="2"/>
      <c r="G25" s="2"/>
      <c r="H25" s="2"/>
      <c r="I25" s="2"/>
      <c r="J25" s="2"/>
    </row>
    <row r="26" spans="1:10" ht="18.75" x14ac:dyDescent="0.3">
      <c r="B26" s="2"/>
      <c r="C26" s="2"/>
      <c r="D26" s="2"/>
      <c r="E26" s="65"/>
      <c r="F26" s="2"/>
      <c r="G26" s="2"/>
      <c r="H26" s="2"/>
      <c r="I26" s="2"/>
      <c r="J26" s="2"/>
    </row>
    <row r="27" spans="1:10" ht="18.75" x14ac:dyDescent="0.3">
      <c r="B27" s="2"/>
      <c r="C27" s="2"/>
      <c r="D27" s="2"/>
      <c r="E27" s="65"/>
      <c r="F27" s="2"/>
      <c r="G27" s="2"/>
      <c r="H27" s="2"/>
      <c r="I27" s="2"/>
      <c r="J27" s="2"/>
    </row>
    <row r="28" spans="1:10" ht="18.75" x14ac:dyDescent="0.3">
      <c r="B28" s="2"/>
      <c r="C28" s="2"/>
      <c r="D28" s="2"/>
      <c r="E28" s="2"/>
      <c r="F28" s="2"/>
      <c r="G28" s="2"/>
      <c r="H28" s="2"/>
      <c r="I28" s="2"/>
      <c r="J28" s="2"/>
    </row>
    <row r="29" spans="1:10" ht="18.75" x14ac:dyDescent="0.3">
      <c r="B29" s="2"/>
      <c r="C29" s="2"/>
      <c r="D29" s="2"/>
      <c r="E29" s="2"/>
      <c r="F29" s="2"/>
      <c r="G29" s="2"/>
      <c r="H29" s="2"/>
      <c r="I29" s="2"/>
      <c r="J29" s="2"/>
    </row>
    <row r="30" spans="1:10" ht="18.75" x14ac:dyDescent="0.3">
      <c r="B30" s="2"/>
      <c r="C30" s="2"/>
      <c r="D30" s="2"/>
      <c r="E30" s="2"/>
      <c r="F30" s="2"/>
      <c r="G30" s="2"/>
      <c r="H30" s="2"/>
      <c r="I30" s="2"/>
      <c r="J30" s="2"/>
    </row>
    <row r="31" spans="1:10" ht="18.75" x14ac:dyDescent="0.3">
      <c r="B31" s="2"/>
      <c r="C31" s="2"/>
      <c r="D31" s="2"/>
      <c r="E31" s="2"/>
      <c r="F31" s="2"/>
      <c r="G31" s="2"/>
      <c r="H31" s="2"/>
      <c r="I31" s="2"/>
      <c r="J31" s="2"/>
    </row>
    <row r="32" spans="1:10" ht="18.75" x14ac:dyDescent="0.3">
      <c r="B32" s="2"/>
      <c r="C32" s="2"/>
      <c r="D32" s="2"/>
      <c r="E32" s="2"/>
      <c r="F32" s="2"/>
      <c r="G32" s="2"/>
      <c r="H32" s="2"/>
      <c r="I32" s="2"/>
      <c r="J32" s="2"/>
    </row>
  </sheetData>
  <scenarios current="2" show="2" sqref="C6">
    <scenario name="Best case" locked="1" count="1" user="David Stewart" comment="_x000a_">
      <inputCells r="H5" val="80" numFmtId="165"/>
    </scenario>
    <scenario name="Base case" locked="1" count="1" user="David Stewart" comment="_x000a_Modified by David Stewart on 1/04/2020">
      <inputCells r="H5" val="90" numFmtId="165"/>
    </scenario>
    <scenario name="Worst case" locked="1" count="1" user="David Stewart" comment="_x000a_">
      <inputCells r="H5" val="100" numFmtId="165"/>
    </scenario>
  </scenarios>
  <mergeCells count="1">
    <mergeCell ref="G18:I19"/>
  </mergeCells>
  <dataValidations count="1">
    <dataValidation type="list" allowBlank="1" showInputMessage="1" showErrorMessage="1" sqref="H10" xr:uid="{00000000-0002-0000-0400-000000000000}">
      <formula1>"$249,$299"</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1. Instructions</vt:lpstr>
      <vt:lpstr>2.Manager Page</vt:lpstr>
      <vt:lpstr>3.Conceptual Model</vt:lpstr>
      <vt:lpstr>4. Vlooup function</vt:lpstr>
      <vt:lpstr>5.Distributions</vt:lpstr>
      <vt:lpstr>6. Model</vt:lpstr>
      <vt:lpstr>Contribution_margin_per_unit</vt:lpstr>
      <vt:lpstr>Cost_of_parts_per_unit</vt:lpstr>
      <vt:lpstr>Demand</vt:lpstr>
      <vt:lpstr>Direct_labour_cost_per_unit</vt:lpstr>
      <vt:lpstr>First_year_profit</vt:lpstr>
      <vt:lpstr>Selling_price_per_unit</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Stewart</dc:creator>
  <cp:lastModifiedBy>Annista Wijayanayake</cp:lastModifiedBy>
  <dcterms:created xsi:type="dcterms:W3CDTF">2020-03-30T06:11:12Z</dcterms:created>
  <dcterms:modified xsi:type="dcterms:W3CDTF">2025-04-25T12:23:38Z</dcterms:modified>
</cp:coreProperties>
</file>