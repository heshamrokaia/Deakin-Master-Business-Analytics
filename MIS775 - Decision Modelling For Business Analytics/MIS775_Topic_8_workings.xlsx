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8-Simulation Modelling/"/>
    </mc:Choice>
  </mc:AlternateContent>
  <xr:revisionPtr revIDLastSave="381" documentId="8_{5E1EF146-790B-4954-9AC5-E0B401B1BF75}" xr6:coauthVersionLast="47" xr6:coauthVersionMax="47" xr10:uidLastSave="{E3365928-98C0-4112-89E3-C470EF89A41A}"/>
  <bookViews>
    <workbookView xWindow="-120" yWindow="-120" windowWidth="51840" windowHeight="21120" tabRatio="795" activeTab="4" xr2:uid="{00000000-000D-0000-FFFF-FFFF00000000}"/>
  </bookViews>
  <sheets>
    <sheet name="1. Instructions" sheetId="8" r:id="rId1"/>
    <sheet name="2.Manager Page" sheetId="4" r:id="rId2"/>
    <sheet name="3.Conceptual Model" sheetId="2" r:id="rId3"/>
    <sheet name="4. Vlooup function" sheetId="11" r:id="rId4"/>
    <sheet name="5.Distributions" sheetId="9" r:id="rId5"/>
    <sheet name="6.Model" sheetId="1" r:id="rId6"/>
  </sheets>
  <externalReferences>
    <externalReference r:id="rId7"/>
  </externalReferences>
  <definedNames>
    <definedName name="Contribution_margin_per_unit">'6.Model'!$C$4</definedName>
    <definedName name="Cost_of_parts_per_unit">'6.Model'!$H$5</definedName>
    <definedName name="Demand">'6.Model'!$H$6</definedName>
    <definedName name="Direct_labour_cost_per_unit">'6.Model'!$H$4</definedName>
    <definedName name="First_year_profit">'6.Model'!$C$6</definedName>
    <definedName name="mu">'[1]fit Beta Dist'!$G$11</definedName>
    <definedName name="Selling_price_per_unit">'6.Model'!$H$9</definedName>
    <definedName name="solver_adj" localSheetId="5" hidden="1">'6.Model'!$H$9</definedName>
    <definedName name="solver_cvg" localSheetId="5" hidden="1">0.0001</definedName>
    <definedName name="solver_drv" localSheetId="5" hidden="1">1</definedName>
    <definedName name="solver_eng" localSheetId="5" hidden="1">1</definedName>
    <definedName name="solver_est" localSheetId="5" hidden="1">1</definedName>
    <definedName name="solver_itr" localSheetId="5" hidden="1">2147483647</definedName>
    <definedName name="solver_mip" localSheetId="5" hidden="1">2147483647</definedName>
    <definedName name="solver_mni" localSheetId="5" hidden="1">30</definedName>
    <definedName name="solver_mrt" localSheetId="5" hidden="1">0.075</definedName>
    <definedName name="solver_msl" localSheetId="5" hidden="1">2</definedName>
    <definedName name="solver_neg" localSheetId="5" hidden="1">1</definedName>
    <definedName name="solver_nod" localSheetId="5" hidden="1">2147483647</definedName>
    <definedName name="solver_num" localSheetId="5" hidden="1">0</definedName>
    <definedName name="solver_nwt" localSheetId="5" hidden="1">1</definedName>
    <definedName name="solver_opt" localSheetId="5" hidden="1">'6.Model'!$C$6</definedName>
    <definedName name="solver_pre" localSheetId="5" hidden="1">0.000001</definedName>
    <definedName name="solver_rbv" localSheetId="5" hidden="1">1</definedName>
    <definedName name="solver_rlx" localSheetId="5" hidden="1">2</definedName>
    <definedName name="solver_rsd" localSheetId="5" hidden="1">0</definedName>
    <definedName name="solver_scl" localSheetId="5" hidden="1">1</definedName>
    <definedName name="solver_sho" localSheetId="5" hidden="1">2</definedName>
    <definedName name="solver_ssz" localSheetId="5" hidden="1">100</definedName>
    <definedName name="solver_tim" localSheetId="5" hidden="1">2147483647</definedName>
    <definedName name="solver_tol" localSheetId="5" hidden="1">0.01</definedName>
    <definedName name="solver_typ" localSheetId="5" hidden="1">1</definedName>
    <definedName name="solver_val" localSheetId="5" hidden="1">0</definedName>
    <definedName name="solver_ver" localSheetId="5" hidden="1">3</definedName>
    <definedName name="var">'[1]fit Beta Dist'!$G$12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11" l="1"/>
  <c r="X15" i="9"/>
  <c r="X14" i="9"/>
  <c r="M13" i="9"/>
  <c r="D17" i="9"/>
  <c r="H13" i="9" l="1"/>
  <c r="H12" i="9"/>
  <c r="H11" i="9"/>
  <c r="H10" i="9"/>
  <c r="H9" i="9"/>
</calcChain>
</file>

<file path=xl/sharedStrings.xml><?xml version="1.0" encoding="utf-8"?>
<sst xmlns="http://schemas.openxmlformats.org/spreadsheetml/2006/main" count="144" uniqueCount="88">
  <si>
    <t>Profit</t>
  </si>
  <si>
    <t>COMPUTED VALUES AND OUTPUT</t>
  </si>
  <si>
    <t>INPUTS</t>
  </si>
  <si>
    <t>Stochastic inputs</t>
  </si>
  <si>
    <t>Direct labour cost per unit</t>
  </si>
  <si>
    <t>Cost of parts per unit</t>
  </si>
  <si>
    <t>Demand</t>
  </si>
  <si>
    <t>Decision variables</t>
  </si>
  <si>
    <t>Fixed inputs</t>
  </si>
  <si>
    <t>Key output</t>
  </si>
  <si>
    <t>Key inputs</t>
  </si>
  <si>
    <t>Management decision variable</t>
  </si>
  <si>
    <t xml:space="preserve">Selling price per unit </t>
  </si>
  <si>
    <t>Uncertain inputs subject to random variation</t>
  </si>
  <si>
    <t>Cost of direct labour</t>
  </si>
  <si>
    <t>Cost of parts</t>
  </si>
  <si>
    <t>Tasks</t>
  </si>
  <si>
    <t>Cost</t>
  </si>
  <si>
    <t>Probability</t>
  </si>
  <si>
    <t xml:space="preserve">Cumulative </t>
  </si>
  <si>
    <t>probability</t>
  </si>
  <si>
    <t>Uniform</t>
  </si>
  <si>
    <t>Upper</t>
  </si>
  <si>
    <t>Lower</t>
  </si>
  <si>
    <t>limit</t>
  </si>
  <si>
    <t>Mean</t>
  </si>
  <si>
    <t>Standard</t>
  </si>
  <si>
    <t>deviation</t>
  </si>
  <si>
    <t>Random number range</t>
  </si>
  <si>
    <t>Uniform distribution</t>
  </si>
  <si>
    <t>Price $249</t>
  </si>
  <si>
    <t>Price $299</t>
  </si>
  <si>
    <t>PROBABILITY DISTRIBUTIONS</t>
  </si>
  <si>
    <t>Normal distribution*</t>
  </si>
  <si>
    <t>Notes:</t>
  </si>
  <si>
    <t>*Should be a non-negative integer. Can do this by using ROUND built-in formula, but this complication is unnecessary for decision making</t>
  </si>
  <si>
    <t xml:space="preserve">Administrative costs </t>
  </si>
  <si>
    <t xml:space="preserve">Advertising costs </t>
  </si>
  <si>
    <t xml:space="preserve">When you've finished, review your workings against the Distributions and Model worksheets in the Solutions spreadsheet. </t>
  </si>
  <si>
    <r>
      <t>Cost of parts per unit</t>
    </r>
    <r>
      <rPr>
        <b/>
        <sz val="14"/>
        <color theme="1"/>
        <rFont val="Calibri"/>
        <family val="2"/>
        <scheme val="minor"/>
      </rPr>
      <t>: Uniform</t>
    </r>
  </si>
  <si>
    <r>
      <t>Demand</t>
    </r>
    <r>
      <rPr>
        <b/>
        <sz val="14"/>
        <color theme="1"/>
        <rFont val="Calibri"/>
        <family val="2"/>
        <scheme val="minor"/>
      </rPr>
      <t>: Normal</t>
    </r>
  </si>
  <si>
    <t>Contribution margin per unit</t>
  </si>
  <si>
    <t>First-year profit</t>
  </si>
  <si>
    <t>Selling price per unit</t>
  </si>
  <si>
    <t>Administrative costs ($M)</t>
  </si>
  <si>
    <t>Advertising costs ($M)</t>
  </si>
  <si>
    <t>The purpose of this seminar is update the Model worksheet by including distributions for the stochastic inputs. The distributions are given in the Topic 8 lecture slides. In the process, you should familiarise yourself with the Topic 8 spreadsheet: Generating random numbers.</t>
  </si>
  <si>
    <t>Emperical  Distribution</t>
  </si>
  <si>
    <t>Uniform  Distribution</t>
  </si>
  <si>
    <t>Normal  Distribution</t>
  </si>
  <si>
    <t>Given distribution (emperical distribution)</t>
  </si>
  <si>
    <t>Given distribution (Emperical distribution)</t>
  </si>
  <si>
    <t>Demand when price $249</t>
  </si>
  <si>
    <t>Demand when price $299</t>
  </si>
  <si>
    <t>By suitably transforming a uniformly distributed random number between 0 and 1, we can generate random samples from any specified distribution.</t>
  </si>
  <si>
    <t>This is why RAND() plays a central role in all Excel expressions for generating random numbers</t>
  </si>
  <si>
    <t xml:space="preserve">Key points: </t>
  </si>
  <si>
    <t>Learn the Vlookup function and its applications</t>
  </si>
  <si>
    <t>USING THE VLOOKUP FUNCTION</t>
  </si>
  <si>
    <t>This is our empirical distribution. We would like to be able to generate random numbers from this distribution.</t>
  </si>
  <si>
    <t>The way we do this is to first create the cumulative distribution</t>
  </si>
  <si>
    <t>We match the random number generated by Excel using RAND() to the cumulative probability, and then trace it back to the demand. E.g. suppose RAND() produces the random number 0.5628, then this produces the random demand of 400, as shown in the graph.</t>
  </si>
  <si>
    <t>This is conceptually how we generate random numbers for any empirical distribution. What remains is to explain how this is done in Excel.</t>
  </si>
  <si>
    <t>The function we use is VLOOKUP. This requires four inputs:</t>
  </si>
  <si>
    <t>VLOOKUP(Value, Data range, Column number, logical)</t>
  </si>
  <si>
    <t>To start with we need a table like the cumulative distribution table above, but we are going to make two changes. First we switch the order of the columns</t>
  </si>
  <si>
    <t>frequency (days)</t>
  </si>
  <si>
    <t>Sub-intervals*</t>
  </si>
  <si>
    <t>0.0-0.1</t>
  </si>
  <si>
    <t>0.1-0.3</t>
  </si>
  <si>
    <t>0.3-0.7</t>
  </si>
  <si>
    <t>0.7-0.9</t>
  </si>
  <si>
    <t>0.9-1.0</t>
  </si>
  <si>
    <t>When we want to generate numbers from an empirical distribution we start with the frequency distribution. E.g. let us assume that the labour costs change on daily basis and taken a sample of the last 50 days labour costs and given in the following table</t>
  </si>
  <si>
    <t>cumulative probability</t>
  </si>
  <si>
    <t>labour cost</t>
  </si>
  <si>
    <t>Probability /rand ()</t>
  </si>
  <si>
    <t>Lower Limit</t>
  </si>
  <si>
    <t>Upper Limit</t>
  </si>
  <si>
    <t>?</t>
  </si>
  <si>
    <t>4. Check to see that the random output and stochastic inputs are updated when function key F9 is pressed.</t>
  </si>
  <si>
    <t>1.Direct labour cost per unit</t>
  </si>
  <si>
    <t>2.Cost of parts per unit</t>
  </si>
  <si>
    <t>3.Demand</t>
  </si>
  <si>
    <t>3. Complete the 6. Model worksheet.(practice again)</t>
  </si>
  <si>
    <t>2. Complete the 5.Distributions worksheet. (complete all "?" cells). Check the generated random number and the relevant value for the accuracy</t>
  </si>
  <si>
    <t>1. Learn the Vlookup function (worksheet 4). Complte all "?" cells</t>
  </si>
  <si>
    <t>Learn how to use the Vlookup()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</si>
</sst>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44" formatCode="_-&quot;$&quot;* #,##0.00_-;\-&quot;$&quot;* #,##0.00_-;_-&quot;$&quot;* &quot;-&quot;??_-;_-@_-"/>
    <numFmt numFmtId="164" formatCode="&quot;$&quot;#,##0.00"/>
    <numFmt numFmtId="165" formatCode="&quot;$&quot;#,##0"/>
  </numFmts>
  <fonts count="42" x14ac:knownFonts="1">
    <font>
      <sz val="11"/>
      <color theme="1"/>
      <name val="Calibri"/>
      <family val="2"/>
      <scheme val="minor"/>
    </font>
    <font>
      <sz val="11"/>
      <color theme="1"/>
      <name val="Calibri"/>
      <family val="2"/>
      <scheme val="minor"/>
    </font>
    <font>
      <sz val="12"/>
      <color theme="1"/>
      <name val="Times New Roman"/>
      <family val="1"/>
    </font>
    <font>
      <b/>
      <sz val="14"/>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b/>
      <sz val="18"/>
      <color theme="1"/>
      <name val="Calibri"/>
      <family val="2"/>
      <scheme val="minor"/>
    </font>
    <font>
      <sz val="10"/>
      <name val="Arial"/>
      <family val="2"/>
    </font>
    <font>
      <sz val="12"/>
      <name val="Calibri"/>
      <family val="2"/>
      <scheme val="minor"/>
    </font>
    <font>
      <b/>
      <u/>
      <sz val="12"/>
      <color theme="1"/>
      <name val="Calibri"/>
      <family val="2"/>
      <scheme val="minor"/>
    </font>
    <font>
      <b/>
      <u/>
      <sz val="12"/>
      <name val="Calibri"/>
      <family val="2"/>
      <scheme val="minor"/>
    </font>
    <font>
      <b/>
      <u/>
      <sz val="14"/>
      <color theme="1"/>
      <name val="Calibri"/>
      <family val="2"/>
      <scheme val="minor"/>
    </font>
    <font>
      <b/>
      <u/>
      <sz val="14"/>
      <name val="Calibri"/>
      <family val="2"/>
      <scheme val="minor"/>
    </font>
    <font>
      <sz val="16"/>
      <color theme="1"/>
      <name val="Calibri"/>
      <family val="2"/>
      <scheme val="minor"/>
    </font>
    <font>
      <b/>
      <sz val="18"/>
      <color rgb="FF0070C0"/>
      <name val="Calibri"/>
      <family val="2"/>
      <scheme val="minor"/>
    </font>
    <font>
      <sz val="18"/>
      <color rgb="FF0070C0"/>
      <name val="Calibri"/>
      <family val="2"/>
      <scheme val="minor"/>
    </font>
    <font>
      <sz val="18"/>
      <color theme="1"/>
      <name val="Calibri"/>
      <family val="2"/>
      <scheme val="minor"/>
    </font>
    <font>
      <b/>
      <sz val="18"/>
      <name val="Calibri"/>
      <family val="2"/>
      <scheme val="minor"/>
    </font>
    <font>
      <b/>
      <sz val="14"/>
      <name val="Calibri"/>
      <family val="2"/>
      <scheme val="minor"/>
    </font>
    <font>
      <i/>
      <sz val="14"/>
      <color theme="1"/>
      <name val="Calibri"/>
      <family val="2"/>
      <scheme val="minor"/>
    </font>
    <font>
      <b/>
      <sz val="16"/>
      <color theme="1"/>
      <name val="Calibri"/>
      <family val="2"/>
      <scheme val="minor"/>
    </font>
    <font>
      <sz val="14"/>
      <color rgb="FF0070C0"/>
      <name val="Calibri"/>
      <family val="2"/>
      <scheme val="minor"/>
    </font>
    <font>
      <sz val="12"/>
      <color theme="8" tint="-0.249977111117893"/>
      <name val="Calibri"/>
      <family val="2"/>
      <scheme val="minor"/>
    </font>
    <font>
      <b/>
      <sz val="16"/>
      <color theme="8" tint="-0.249977111117893"/>
      <name val="Calibri"/>
      <family val="2"/>
      <scheme val="minor"/>
    </font>
    <font>
      <sz val="8"/>
      <name val="Calibri"/>
      <family val="2"/>
      <scheme val="minor"/>
    </font>
    <font>
      <sz val="14"/>
      <name val="Calibri"/>
      <family val="2"/>
      <scheme val="minor"/>
    </font>
    <font>
      <sz val="16"/>
      <color theme="1"/>
      <name val="Times New Roman"/>
      <family val="1"/>
    </font>
    <font>
      <b/>
      <sz val="16"/>
      <color theme="0"/>
      <name val="Calibri"/>
      <family val="2"/>
      <scheme val="minor"/>
    </font>
    <font>
      <b/>
      <sz val="16"/>
      <color theme="1"/>
      <name val="Times New Roman"/>
      <family val="1"/>
    </font>
    <font>
      <b/>
      <i/>
      <sz val="16"/>
      <color theme="1"/>
      <name val="Calibri"/>
      <family val="2"/>
      <scheme val="minor"/>
    </font>
    <font>
      <sz val="18"/>
      <name val="Arial"/>
      <family val="2"/>
    </font>
    <font>
      <b/>
      <sz val="18"/>
      <color rgb="FFFFFFFF"/>
      <name val="Calibri"/>
      <family val="2"/>
    </font>
    <font>
      <sz val="18"/>
      <color rgb="FF373636"/>
      <name val="Calibri"/>
      <family val="2"/>
    </font>
    <font>
      <b/>
      <sz val="18"/>
      <color rgb="FF373636"/>
      <name val="Calibri"/>
      <family val="2"/>
    </font>
    <font>
      <sz val="18"/>
      <name val="Calibri"/>
      <family val="2"/>
      <scheme val="minor"/>
    </font>
    <font>
      <sz val="16"/>
      <name val="Calibri"/>
      <family val="2"/>
      <scheme val="minor"/>
    </font>
    <font>
      <b/>
      <sz val="14"/>
      <color theme="8" tint="-0.249977111117893"/>
      <name val="Calibri"/>
      <family val="2"/>
      <scheme val="minor"/>
    </font>
    <font>
      <b/>
      <sz val="14"/>
      <color rgb="FF0033CC"/>
      <name val="Calibri"/>
      <family val="2"/>
      <scheme val="minor"/>
    </font>
    <font>
      <sz val="14"/>
      <color rgb="FF0033CC"/>
      <name val="Calibri"/>
      <family val="2"/>
      <scheme val="minor"/>
    </font>
    <font>
      <b/>
      <sz val="18"/>
      <color rgb="FF0033CC"/>
      <name val="Calibri"/>
      <family val="2"/>
      <scheme val="minor"/>
    </font>
    <font>
      <sz val="12"/>
      <color rgb="FF0033CC"/>
      <name val="Calibri"/>
      <family val="2"/>
      <scheme val="minor"/>
    </font>
  </fonts>
  <fills count="19">
    <fill>
      <patternFill patternType="none"/>
    </fill>
    <fill>
      <patternFill patternType="gray125"/>
    </fill>
    <fill>
      <patternFill patternType="solid">
        <fgColor rgb="FFFFFFCC"/>
      </patternFill>
    </fill>
    <fill>
      <patternFill patternType="solid">
        <fgColor rgb="FFFFFF00"/>
        <bgColor indexed="64"/>
      </patternFill>
    </fill>
    <fill>
      <patternFill patternType="solid">
        <fgColor rgb="FFFF7C80"/>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CC"/>
        <bgColor indexed="64"/>
      </patternFill>
    </fill>
    <fill>
      <patternFill patternType="solid">
        <fgColor theme="0" tint="-0.499984740745262"/>
        <bgColor indexed="64"/>
      </patternFill>
    </fill>
    <fill>
      <patternFill patternType="solid">
        <fgColor rgb="FF007D9B"/>
        <bgColor indexed="64"/>
      </patternFill>
    </fill>
    <fill>
      <patternFill patternType="solid">
        <fgColor rgb="FFCBD7DE"/>
        <bgColor indexed="64"/>
      </patternFill>
    </fill>
    <fill>
      <patternFill patternType="solid">
        <fgColor rgb="FFE7ECEF"/>
        <bgColor indexed="64"/>
      </patternFill>
    </fill>
    <fill>
      <patternFill patternType="solid">
        <fgColor rgb="FFCCCCFF"/>
        <bgColor indexed="64"/>
      </patternFill>
    </fill>
    <fill>
      <patternFill patternType="solid">
        <fgColor theme="1" tint="0.34998626667073579"/>
        <bgColor indexed="64"/>
      </patternFill>
    </fill>
  </fills>
  <borders count="11">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right style="thin">
        <color theme="0"/>
      </right>
      <top style="thin">
        <color indexed="64"/>
      </top>
      <bottom/>
      <diagonal/>
    </border>
    <border>
      <left style="thin">
        <color indexed="64"/>
      </left>
      <right style="thin">
        <color theme="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8" fillId="0" borderId="0"/>
  </cellStyleXfs>
  <cellXfs count="111">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8" borderId="0" xfId="0" applyFont="1" applyFill="1"/>
    <xf numFmtId="0" fontId="6" fillId="8" borderId="0" xfId="0" applyFont="1" applyFill="1"/>
    <xf numFmtId="0" fontId="9" fillId="0" borderId="0" xfId="4" applyFont="1" applyAlignment="1">
      <alignment horizontal="left" vertical="top" wrapText="1"/>
    </xf>
    <xf numFmtId="0" fontId="10" fillId="0" borderId="0" xfId="0" applyFont="1"/>
    <xf numFmtId="0" fontId="6" fillId="0" borderId="0" xfId="0" applyFont="1" applyAlignment="1">
      <alignment horizontal="center"/>
    </xf>
    <xf numFmtId="0" fontId="9" fillId="0" borderId="0" xfId="4" applyFont="1" applyAlignment="1">
      <alignment horizontal="center"/>
    </xf>
    <xf numFmtId="165" fontId="6" fillId="0" borderId="2" xfId="0" applyNumberFormat="1" applyFont="1" applyBorder="1" applyAlignment="1">
      <alignment horizontal="center"/>
    </xf>
    <xf numFmtId="0" fontId="6" fillId="0" borderId="2" xfId="0" applyFont="1" applyBorder="1" applyAlignment="1">
      <alignment horizontal="center"/>
    </xf>
    <xf numFmtId="0" fontId="11" fillId="0" borderId="0" xfId="4" applyFont="1" applyAlignment="1">
      <alignment horizontal="center"/>
    </xf>
    <xf numFmtId="0" fontId="12" fillId="0" borderId="0" xfId="0" applyFont="1"/>
    <xf numFmtId="0" fontId="13" fillId="0" borderId="0" xfId="4" applyFont="1"/>
    <xf numFmtId="0" fontId="14" fillId="0" borderId="0" xfId="0" applyFont="1"/>
    <xf numFmtId="0" fontId="15" fillId="0" borderId="0" xfId="0" applyFont="1"/>
    <xf numFmtId="0" fontId="16" fillId="0" borderId="0" xfId="0" applyFont="1"/>
    <xf numFmtId="0" fontId="17" fillId="0" borderId="0" xfId="0" applyFont="1"/>
    <xf numFmtId="0" fontId="7" fillId="0" borderId="0" xfId="0" applyFont="1"/>
    <xf numFmtId="0" fontId="17" fillId="10" borderId="0" xfId="0" applyFont="1" applyFill="1"/>
    <xf numFmtId="0" fontId="17" fillId="9" borderId="0" xfId="0" applyFont="1" applyFill="1"/>
    <xf numFmtId="0" fontId="18" fillId="0" borderId="0" xfId="0" applyFont="1"/>
    <xf numFmtId="0" fontId="19" fillId="8" borderId="0" xfId="0" applyFont="1" applyFill="1" applyAlignment="1">
      <alignment vertical="top" wrapText="1"/>
    </xf>
    <xf numFmtId="0" fontId="4" fillId="8" borderId="0" xfId="0" applyFont="1" applyFill="1"/>
    <xf numFmtId="0" fontId="20" fillId="0" borderId="0" xfId="0" applyFont="1" applyAlignment="1">
      <alignment vertical="top"/>
    </xf>
    <xf numFmtId="0" fontId="7" fillId="11" borderId="0" xfId="0" applyFont="1" applyFill="1"/>
    <xf numFmtId="0" fontId="21" fillId="0" borderId="0" xfId="0" applyFont="1"/>
    <xf numFmtId="0" fontId="21" fillId="2" borderId="7" xfId="3" applyFont="1" applyBorder="1" applyAlignment="1">
      <alignment horizontal="center" vertical="top" wrapText="1"/>
    </xf>
    <xf numFmtId="0" fontId="19" fillId="0" borderId="0" xfId="0" applyFont="1"/>
    <xf numFmtId="0" fontId="22" fillId="0" borderId="0" xfId="0" applyFont="1"/>
    <xf numFmtId="0" fontId="23" fillId="8" borderId="0" xfId="0" applyFont="1" applyFill="1" applyAlignment="1">
      <alignment horizontal="left"/>
    </xf>
    <xf numFmtId="165" fontId="24" fillId="8" borderId="0" xfId="2" applyNumberFormat="1" applyFont="1" applyFill="1" applyBorder="1" applyAlignment="1">
      <alignment horizontal="left"/>
    </xf>
    <xf numFmtId="0" fontId="21" fillId="8" borderId="0" xfId="3" applyFont="1" applyFill="1" applyBorder="1" applyAlignment="1">
      <alignment horizontal="center" vertical="top" wrapText="1"/>
    </xf>
    <xf numFmtId="0" fontId="4" fillId="13" borderId="0" xfId="0" applyFont="1" applyFill="1"/>
    <xf numFmtId="0" fontId="20" fillId="3" borderId="0" xfId="0" applyFont="1" applyFill="1" applyAlignment="1">
      <alignment vertical="top"/>
    </xf>
    <xf numFmtId="0" fontId="4" fillId="3" borderId="0" xfId="0" applyFont="1" applyFill="1"/>
    <xf numFmtId="0" fontId="19" fillId="3" borderId="0" xfId="0" applyFont="1" applyFill="1"/>
    <xf numFmtId="0" fontId="26" fillId="3" borderId="0" xfId="0" applyFont="1" applyFill="1"/>
    <xf numFmtId="0" fontId="3" fillId="3" borderId="0" xfId="0" applyFont="1" applyFill="1"/>
    <xf numFmtId="0" fontId="9" fillId="0" borderId="0" xfId="4" applyFont="1"/>
    <xf numFmtId="0" fontId="27" fillId="0" borderId="0" xfId="0" applyFont="1"/>
    <xf numFmtId="0" fontId="28" fillId="5" borderId="4" xfId="0" applyFont="1" applyFill="1" applyBorder="1" applyAlignment="1">
      <alignment vertical="center" wrapText="1"/>
    </xf>
    <xf numFmtId="0" fontId="21" fillId="3" borderId="2" xfId="0" applyFont="1" applyFill="1" applyBorder="1" applyAlignment="1">
      <alignment wrapText="1"/>
    </xf>
    <xf numFmtId="0" fontId="29" fillId="0" borderId="0" xfId="0" applyFont="1"/>
    <xf numFmtId="0" fontId="21" fillId="4" borderId="2" xfId="0" applyFont="1" applyFill="1" applyBorder="1"/>
    <xf numFmtId="165" fontId="21" fillId="4" borderId="2" xfId="2" applyNumberFormat="1" applyFont="1" applyFill="1" applyBorder="1"/>
    <xf numFmtId="0" fontId="21" fillId="2" borderId="0" xfId="3" applyFont="1" applyBorder="1" applyAlignment="1">
      <alignment vertical="top"/>
    </xf>
    <xf numFmtId="0" fontId="29" fillId="0" borderId="3" xfId="0" applyFont="1" applyBorder="1"/>
    <xf numFmtId="0" fontId="21" fillId="2" borderId="0" xfId="3" applyFont="1" applyBorder="1" applyAlignment="1">
      <alignment vertical="top" wrapText="1"/>
    </xf>
    <xf numFmtId="0" fontId="21" fillId="6" borderId="6" xfId="0" applyFont="1" applyFill="1" applyBorder="1"/>
    <xf numFmtId="0" fontId="21" fillId="7" borderId="6" xfId="0" applyFont="1" applyFill="1" applyBorder="1"/>
    <xf numFmtId="0" fontId="32" fillId="14" borderId="8" xfId="0" applyFont="1" applyFill="1" applyBorder="1" applyAlignment="1">
      <alignment horizontal="left" vertical="center" wrapText="1" readingOrder="1"/>
    </xf>
    <xf numFmtId="0" fontId="32" fillId="14" borderId="8" xfId="0" applyFont="1" applyFill="1" applyBorder="1" applyAlignment="1">
      <alignment horizontal="center" vertical="center" wrapText="1" readingOrder="1"/>
    </xf>
    <xf numFmtId="6" fontId="32" fillId="14" borderId="9" xfId="0" applyNumberFormat="1" applyFont="1" applyFill="1" applyBorder="1" applyAlignment="1">
      <alignment horizontal="center" vertical="center" wrapText="1" readingOrder="1"/>
    </xf>
    <xf numFmtId="0" fontId="33" fillId="15" borderId="9" xfId="0" applyFont="1" applyFill="1" applyBorder="1" applyAlignment="1">
      <alignment horizontal="center" vertical="center" wrapText="1" readingOrder="1"/>
    </xf>
    <xf numFmtId="6" fontId="32" fillId="14" borderId="10" xfId="0" applyNumberFormat="1" applyFont="1" applyFill="1" applyBorder="1" applyAlignment="1">
      <alignment horizontal="center" vertical="center" wrapText="1" readingOrder="1"/>
    </xf>
    <xf numFmtId="0" fontId="33" fillId="16" borderId="10" xfId="0" applyFont="1" applyFill="1" applyBorder="1" applyAlignment="1">
      <alignment horizontal="center" vertical="center" wrapText="1" readingOrder="1"/>
    </xf>
    <xf numFmtId="0" fontId="33" fillId="15" borderId="10" xfId="0" applyFont="1" applyFill="1" applyBorder="1" applyAlignment="1">
      <alignment horizontal="center" vertical="center" wrapText="1" readingOrder="1"/>
    </xf>
    <xf numFmtId="0" fontId="31" fillId="14" borderId="10" xfId="0" applyFont="1" applyFill="1" applyBorder="1" applyAlignment="1">
      <alignment wrapText="1"/>
    </xf>
    <xf numFmtId="0" fontId="34" fillId="16" borderId="10" xfId="0" applyFont="1" applyFill="1" applyBorder="1" applyAlignment="1">
      <alignment horizontal="center" vertical="center" wrapText="1" readingOrder="1"/>
    </xf>
    <xf numFmtId="0" fontId="31" fillId="16" borderId="10" xfId="0" applyFont="1" applyFill="1" applyBorder="1" applyAlignment="1">
      <alignment wrapText="1"/>
    </xf>
    <xf numFmtId="0" fontId="18" fillId="0" borderId="0" xfId="4" applyFont="1"/>
    <xf numFmtId="0" fontId="35" fillId="0" borderId="0" xfId="4" applyFont="1"/>
    <xf numFmtId="0" fontId="36" fillId="0" borderId="0" xfId="4" applyFont="1"/>
    <xf numFmtId="4" fontId="21" fillId="4" borderId="2" xfId="2" applyNumberFormat="1" applyFont="1" applyFill="1" applyBorder="1" applyAlignment="1">
      <alignment horizontal="center"/>
    </xf>
    <xf numFmtId="0" fontId="37" fillId="8" borderId="0" xfId="0" applyFont="1" applyFill="1" applyAlignment="1">
      <alignment vertical="top" wrapText="1"/>
    </xf>
    <xf numFmtId="0" fontId="37" fillId="0" borderId="0" xfId="0" applyFont="1"/>
    <xf numFmtId="0" fontId="37" fillId="8" borderId="0" xfId="0" applyFont="1" applyFill="1"/>
    <xf numFmtId="0" fontId="14" fillId="17" borderId="0" xfId="0" applyFont="1" applyFill="1" applyAlignment="1">
      <alignment horizontal="center"/>
    </xf>
    <xf numFmtId="0" fontId="14" fillId="17" borderId="2" xfId="0" applyFont="1" applyFill="1" applyBorder="1" applyAlignment="1">
      <alignment horizontal="center"/>
    </xf>
    <xf numFmtId="2" fontId="14" fillId="17" borderId="0" xfId="0" applyNumberFormat="1" applyFont="1" applyFill="1" applyAlignment="1">
      <alignment horizontal="center"/>
    </xf>
    <xf numFmtId="165" fontId="21" fillId="3" borderId="2" xfId="0" applyNumberFormat="1" applyFont="1" applyFill="1" applyBorder="1" applyAlignment="1">
      <alignment horizontal="center"/>
    </xf>
    <xf numFmtId="0" fontId="29" fillId="0" borderId="0" xfId="0" applyFont="1" applyAlignment="1">
      <alignment horizontal="center"/>
    </xf>
    <xf numFmtId="165" fontId="28" fillId="5" borderId="5" xfId="0" applyNumberFormat="1" applyFont="1" applyFill="1" applyBorder="1" applyAlignment="1">
      <alignment horizontal="center" vertical="center"/>
    </xf>
    <xf numFmtId="0" fontId="6" fillId="18" borderId="0" xfId="0" applyFont="1" applyFill="1"/>
    <xf numFmtId="0" fontId="4" fillId="18" borderId="0" xfId="0" applyFont="1" applyFill="1"/>
    <xf numFmtId="0" fontId="21" fillId="18" borderId="0" xfId="0" applyFont="1" applyFill="1"/>
    <xf numFmtId="0" fontId="27" fillId="13" borderId="0" xfId="0" applyFont="1" applyFill="1"/>
    <xf numFmtId="0" fontId="29" fillId="13" borderId="0" xfId="0" applyFont="1" applyFill="1"/>
    <xf numFmtId="0" fontId="2" fillId="13" borderId="0" xfId="0" applyFont="1" applyFill="1"/>
    <xf numFmtId="0" fontId="38" fillId="0" borderId="0" xfId="0" applyFont="1"/>
    <xf numFmtId="0" fontId="39" fillId="0" borderId="0" xfId="0" applyFont="1"/>
    <xf numFmtId="0" fontId="38" fillId="0" borderId="0" xfId="0" applyFont="1" applyAlignment="1">
      <alignment horizontal="left"/>
    </xf>
    <xf numFmtId="0" fontId="40" fillId="0" borderId="0" xfId="4" applyFont="1"/>
    <xf numFmtId="0" fontId="40" fillId="0" borderId="0" xfId="0" applyFont="1"/>
    <xf numFmtId="0" fontId="41" fillId="0" borderId="0" xfId="0" applyFont="1"/>
    <xf numFmtId="0" fontId="41" fillId="0" borderId="0" xfId="4" applyFont="1" applyAlignment="1">
      <alignment horizontal="left" vertical="top" wrapText="1"/>
    </xf>
    <xf numFmtId="165" fontId="21" fillId="4" borderId="2" xfId="2" applyNumberFormat="1" applyFont="1" applyFill="1" applyBorder="1" applyAlignment="1">
      <alignment horizontal="center" vertical="center"/>
    </xf>
    <xf numFmtId="164" fontId="21" fillId="4" borderId="2" xfId="2" applyNumberFormat="1" applyFont="1" applyFill="1" applyBorder="1" applyAlignment="1">
      <alignment horizontal="center" vertical="center"/>
    </xf>
    <xf numFmtId="1" fontId="21" fillId="4" borderId="2" xfId="2" applyNumberFormat="1" applyFont="1" applyFill="1" applyBorder="1" applyAlignment="1">
      <alignment horizontal="center" vertical="center"/>
    </xf>
    <xf numFmtId="0" fontId="21" fillId="6" borderId="2" xfId="0" applyFont="1" applyFill="1" applyBorder="1" applyAlignment="1">
      <alignment horizontal="center" vertical="center"/>
    </xf>
    <xf numFmtId="0" fontId="2" fillId="0" borderId="0" xfId="0" applyFont="1" applyAlignment="1">
      <alignment horizontal="center"/>
    </xf>
    <xf numFmtId="0" fontId="14" fillId="0" borderId="0" xfId="0" applyFont="1" applyAlignment="1">
      <alignment horizontal="center"/>
    </xf>
    <xf numFmtId="0" fontId="29" fillId="0" borderId="0" xfId="0" applyFont="1" applyAlignment="1">
      <alignment horizontal="center" vertical="center"/>
    </xf>
    <xf numFmtId="0" fontId="21" fillId="0" borderId="0" xfId="0" applyFont="1" applyAlignment="1">
      <alignment horizontal="center" vertical="center"/>
    </xf>
    <xf numFmtId="164" fontId="21" fillId="7" borderId="2" xfId="1" applyNumberFormat="1" applyFont="1" applyFill="1" applyBorder="1" applyAlignment="1">
      <alignment horizontal="center" vertical="center"/>
    </xf>
    <xf numFmtId="0" fontId="21" fillId="0" borderId="0" xfId="0" applyFont="1" applyAlignment="1">
      <alignment horizontal="center"/>
    </xf>
    <xf numFmtId="0" fontId="0" fillId="0" borderId="0" xfId="0" applyAlignment="1">
      <alignment horizontal="center"/>
    </xf>
    <xf numFmtId="0" fontId="37" fillId="8" borderId="0" xfId="0" applyFont="1" applyFill="1" applyAlignment="1">
      <alignment horizontal="left" vertical="top" wrapText="1"/>
    </xf>
    <xf numFmtId="0" fontId="19" fillId="8" borderId="0" xfId="0" applyFont="1" applyFill="1" applyAlignment="1">
      <alignment horizontal="left" vertical="top" wrapText="1"/>
    </xf>
    <xf numFmtId="0" fontId="19" fillId="3" borderId="0" xfId="0" applyFont="1" applyFill="1" applyAlignment="1">
      <alignment horizontal="left" vertical="top" wrapText="1"/>
    </xf>
    <xf numFmtId="0" fontId="35" fillId="0" borderId="0" xfId="4" applyFont="1" applyAlignment="1">
      <alignment horizontal="left" vertical="top" wrapText="1"/>
    </xf>
    <xf numFmtId="0" fontId="36" fillId="0" borderId="0" xfId="4" applyFont="1" applyAlignment="1">
      <alignment horizontal="left" vertical="top" wrapText="1"/>
    </xf>
    <xf numFmtId="0" fontId="21" fillId="12" borderId="7" xfId="3" applyFont="1" applyFill="1" applyBorder="1" applyAlignment="1">
      <alignment horizontal="left" vertical="top" wrapText="1"/>
    </xf>
    <xf numFmtId="0" fontId="21" fillId="12" borderId="0" xfId="3" applyFont="1" applyFill="1" applyBorder="1" applyAlignment="1">
      <alignment horizontal="left" vertical="top" wrapText="1"/>
    </xf>
    <xf numFmtId="0" fontId="21" fillId="2" borderId="7" xfId="3" applyFont="1" applyBorder="1" applyAlignment="1">
      <alignment horizontal="center" vertical="top" wrapText="1"/>
    </xf>
    <xf numFmtId="0" fontId="21" fillId="2" borderId="0" xfId="3" applyFont="1" applyBorder="1" applyAlignment="1">
      <alignment horizontal="center" vertical="top" wrapText="1"/>
    </xf>
    <xf numFmtId="0" fontId="30" fillId="0" borderId="0" xfId="0" applyFont="1" applyAlignment="1">
      <alignment horizontal="left" vertical="top" wrapText="1"/>
    </xf>
  </cellXfs>
  <cellStyles count="5">
    <cellStyle name="Currency" xfId="1" builtinId="4"/>
    <cellStyle name="Normal" xfId="0" builtinId="0"/>
    <cellStyle name="Normal 3" xfId="4" xr:uid="{00000000-0005-0000-0000-000003000000}"/>
    <cellStyle name="Note" xfId="3" builtinId="10"/>
    <cellStyle name="Percent" xfId="2" builtinId="5"/>
  </cellStyles>
  <dxfs count="0"/>
  <tableStyles count="0" defaultTableStyle="TableStyleMedium2" defaultPivotStyle="PivotStyleLight16"/>
  <colors>
    <mruColors>
      <color rgb="FF009999"/>
      <color rgb="FF0033CC"/>
      <color rgb="FFCCCCFF"/>
      <color rgb="FFFF6600"/>
      <color rgb="FF0066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596899</xdr:colOff>
      <xdr:row>1</xdr:row>
      <xdr:rowOff>12699</xdr:rowOff>
    </xdr:from>
    <xdr:to>
      <xdr:col>21</xdr:col>
      <xdr:colOff>99162</xdr:colOff>
      <xdr:row>31</xdr:row>
      <xdr:rowOff>28574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srcRect l="27361" t="23951" r="11805" b="27284"/>
        <a:stretch/>
      </xdr:blipFill>
      <xdr:spPr>
        <a:xfrm>
          <a:off x="596899" y="203199"/>
          <a:ext cx="12303863" cy="5730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9</xdr:row>
      <xdr:rowOff>120650</xdr:rowOff>
    </xdr:from>
    <xdr:to>
      <xdr:col>4</xdr:col>
      <xdr:colOff>584200</xdr:colOff>
      <xdr:row>11</xdr:row>
      <xdr:rowOff>95250</xdr:rowOff>
    </xdr:to>
    <xdr:sp macro="" textlink="">
      <xdr:nvSpPr>
        <xdr:cNvPr id="2" name="Right Arrow 1">
          <a:extLst>
            <a:ext uri="{FF2B5EF4-FFF2-40B4-BE49-F238E27FC236}">
              <a16:creationId xmlns:a16="http://schemas.microsoft.com/office/drawing/2014/main" id="{00000000-0008-0000-0300-000002000000}"/>
            </a:ext>
          </a:extLst>
        </xdr:cNvPr>
        <xdr:cNvSpPr/>
      </xdr:nvSpPr>
      <xdr:spPr>
        <a:xfrm>
          <a:off x="3124200" y="1657350"/>
          <a:ext cx="317500" cy="342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oneCellAnchor>
    <xdr:from>
      <xdr:col>21</xdr:col>
      <xdr:colOff>1019175</xdr:colOff>
      <xdr:row>16</xdr:row>
      <xdr:rowOff>95250</xdr:rowOff>
    </xdr:from>
    <xdr:ext cx="5353050" cy="890757"/>
    <xdr:sp macro="" textlink="">
      <xdr:nvSpPr>
        <xdr:cNvPr id="6" name="TextBox 5">
          <a:extLst>
            <a:ext uri="{FF2B5EF4-FFF2-40B4-BE49-F238E27FC236}">
              <a16:creationId xmlns:a16="http://schemas.microsoft.com/office/drawing/2014/main" id="{BA7FAD1D-CD05-7B5B-F0CF-59784CCCF946}"/>
            </a:ext>
          </a:extLst>
        </xdr:cNvPr>
        <xdr:cNvSpPr txBox="1"/>
      </xdr:nvSpPr>
      <xdr:spPr>
        <a:xfrm>
          <a:off x="21459825" y="4171950"/>
          <a:ext cx="5353050" cy="890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AU" sz="2000" b="1">
              <a:solidFill>
                <a:srgbClr val="009999"/>
              </a:solidFill>
              <a:effectLst/>
              <a:latin typeface="+mn-lt"/>
              <a:ea typeface="+mn-ea"/>
              <a:cs typeface="+mn-cs"/>
            </a:rPr>
            <a:t>x = max(0, norm.inv(rand(),15000,4500)</a:t>
          </a:r>
          <a:endParaRPr lang="en-AU" sz="2000" b="1">
            <a:solidFill>
              <a:srgbClr val="009999"/>
            </a:solidFill>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AU" sz="2000" b="1">
              <a:solidFill>
                <a:srgbClr val="009999"/>
              </a:solidFill>
              <a:effectLst/>
              <a:latin typeface="+mn-lt"/>
              <a:ea typeface="+mn-ea"/>
              <a:cs typeface="+mn-cs"/>
            </a:rPr>
            <a:t>x = max(0, norm.inv(rand(),11000,4500)</a:t>
          </a:r>
          <a:endParaRPr lang="en-AU" sz="2000" b="1">
            <a:solidFill>
              <a:srgbClr val="009999"/>
            </a:solidFill>
            <a:effectLst/>
          </a:endParaRPr>
        </a:p>
        <a:p>
          <a:endParaRPr lang="en-AU" sz="1100"/>
        </a:p>
      </xdr:txBody>
    </xdr:sp>
    <xdr:clientData/>
  </xdr:oneCellAnchor>
  <xdr:oneCellAnchor>
    <xdr:from>
      <xdr:col>2</xdr:col>
      <xdr:colOff>209550</xdr:colOff>
      <xdr:row>22</xdr:row>
      <xdr:rowOff>66675</xdr:rowOff>
    </xdr:from>
    <xdr:ext cx="184731" cy="264560"/>
    <xdr:sp macro="" textlink="">
      <xdr:nvSpPr>
        <xdr:cNvPr id="7" name="TextBox 6">
          <a:extLst>
            <a:ext uri="{FF2B5EF4-FFF2-40B4-BE49-F238E27FC236}">
              <a16:creationId xmlns:a16="http://schemas.microsoft.com/office/drawing/2014/main" id="{2013DB6A-A781-3E4C-8D25-1F3C320202D8}"/>
            </a:ext>
          </a:extLst>
        </xdr:cNvPr>
        <xdr:cNvSpPr txBox="1"/>
      </xdr:nvSpPr>
      <xdr:spPr>
        <a:xfrm>
          <a:off x="2257425" y="5305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0</xdr:col>
      <xdr:colOff>285750</xdr:colOff>
      <xdr:row>17</xdr:row>
      <xdr:rowOff>228600</xdr:rowOff>
    </xdr:from>
    <xdr:ext cx="4097212" cy="405432"/>
    <xdr:sp macro="" textlink="">
      <xdr:nvSpPr>
        <xdr:cNvPr id="8" name="TextBox 7">
          <a:extLst>
            <a:ext uri="{FF2B5EF4-FFF2-40B4-BE49-F238E27FC236}">
              <a16:creationId xmlns:a16="http://schemas.microsoft.com/office/drawing/2014/main" id="{7C922B9A-5E12-BF1E-857A-86F7080D1B1E}"/>
            </a:ext>
          </a:extLst>
        </xdr:cNvPr>
        <xdr:cNvSpPr txBox="1"/>
      </xdr:nvSpPr>
      <xdr:spPr>
        <a:xfrm>
          <a:off x="285750" y="4638675"/>
          <a:ext cx="40972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solidFill>
                <a:srgbClr val="009999"/>
              </a:solidFill>
            </a:rPr>
            <a:t>=VLOOKUP(D17,$F$9:$H$13,3,TRUE)</a:t>
          </a:r>
        </a:p>
      </xdr:txBody>
    </xdr:sp>
    <xdr:clientData/>
  </xdr:oneCellAnchor>
  <xdr:oneCellAnchor>
    <xdr:from>
      <xdr:col>11</xdr:col>
      <xdr:colOff>590550</xdr:colOff>
      <xdr:row>14</xdr:row>
      <xdr:rowOff>0</xdr:rowOff>
    </xdr:from>
    <xdr:ext cx="3161635" cy="405432"/>
    <xdr:sp macro="" textlink="">
      <xdr:nvSpPr>
        <xdr:cNvPr id="9" name="TextBox 8">
          <a:extLst>
            <a:ext uri="{FF2B5EF4-FFF2-40B4-BE49-F238E27FC236}">
              <a16:creationId xmlns:a16="http://schemas.microsoft.com/office/drawing/2014/main" id="{841835BF-523D-4080-DC86-80EF8AF69E36}"/>
            </a:ext>
          </a:extLst>
        </xdr:cNvPr>
        <xdr:cNvSpPr txBox="1"/>
      </xdr:nvSpPr>
      <xdr:spPr>
        <a:xfrm>
          <a:off x="8372475" y="3371850"/>
          <a:ext cx="316163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solidFill>
                <a:srgbClr val="009999"/>
              </a:solidFill>
              <a:effectLst/>
              <a:latin typeface="+mn-lt"/>
              <a:ea typeface="+mn-ea"/>
              <a:cs typeface="+mn-cs"/>
            </a:rPr>
            <a:t>X = min+ (max - min)*rand()</a:t>
          </a:r>
          <a:endParaRPr lang="en-AU" sz="2000" b="1">
            <a:solidFill>
              <a:srgbClr val="009999"/>
            </a:solidFill>
          </a:endParaRPr>
        </a:p>
      </xdr:txBody>
    </xdr:sp>
    <xdr:clientData/>
  </xdr:oneCellAnchor>
  <xdr:twoCellAnchor editAs="oneCell">
    <xdr:from>
      <xdr:col>0</xdr:col>
      <xdr:colOff>200025</xdr:colOff>
      <xdr:row>24</xdr:row>
      <xdr:rowOff>114299</xdr:rowOff>
    </xdr:from>
    <xdr:to>
      <xdr:col>8</xdr:col>
      <xdr:colOff>542925</xdr:colOff>
      <xdr:row>41</xdr:row>
      <xdr:rowOff>85895</xdr:rowOff>
    </xdr:to>
    <xdr:pic>
      <xdr:nvPicPr>
        <xdr:cNvPr id="10" name="Picture 9">
          <a:extLst>
            <a:ext uri="{FF2B5EF4-FFF2-40B4-BE49-F238E27FC236}">
              <a16:creationId xmlns:a16="http://schemas.microsoft.com/office/drawing/2014/main" id="{26019718-C345-DE96-078C-C67C18D67264}"/>
            </a:ext>
          </a:extLst>
        </xdr:cNvPr>
        <xdr:cNvPicPr>
          <a:picLocks noChangeAspect="1"/>
        </xdr:cNvPicPr>
      </xdr:nvPicPr>
      <xdr:blipFill>
        <a:blip xmlns:r="http://schemas.openxmlformats.org/officeDocument/2006/relationships" r:embed="rId1"/>
        <a:stretch>
          <a:fillRect/>
        </a:stretch>
      </xdr:blipFill>
      <xdr:spPr>
        <a:xfrm>
          <a:off x="200025" y="6353174"/>
          <a:ext cx="6677025" cy="3372021"/>
        </a:xfrm>
        <a:prstGeom prst="rect">
          <a:avLst/>
        </a:prstGeom>
      </xdr:spPr>
    </xdr:pic>
    <xdr:clientData/>
  </xdr:twoCellAnchor>
  <xdr:twoCellAnchor editAs="oneCell">
    <xdr:from>
      <xdr:col>10</xdr:col>
      <xdr:colOff>276225</xdr:colOff>
      <xdr:row>24</xdr:row>
      <xdr:rowOff>165772</xdr:rowOff>
    </xdr:from>
    <xdr:to>
      <xdr:col>18</xdr:col>
      <xdr:colOff>3183972</xdr:colOff>
      <xdr:row>46</xdr:row>
      <xdr:rowOff>39448</xdr:rowOff>
    </xdr:to>
    <xdr:pic>
      <xdr:nvPicPr>
        <xdr:cNvPr id="11" name="Picture 10">
          <a:extLst>
            <a:ext uri="{FF2B5EF4-FFF2-40B4-BE49-F238E27FC236}">
              <a16:creationId xmlns:a16="http://schemas.microsoft.com/office/drawing/2014/main" id="{0CC68521-7481-D0B3-72A9-2B4DD961C163}"/>
            </a:ext>
          </a:extLst>
        </xdr:cNvPr>
        <xdr:cNvPicPr>
          <a:picLocks noChangeAspect="1"/>
        </xdr:cNvPicPr>
      </xdr:nvPicPr>
      <xdr:blipFill>
        <a:blip xmlns:r="http://schemas.openxmlformats.org/officeDocument/2006/relationships" r:embed="rId2"/>
        <a:stretch>
          <a:fillRect/>
        </a:stretch>
      </xdr:blipFill>
      <xdr:spPr>
        <a:xfrm>
          <a:off x="7753350" y="6404647"/>
          <a:ext cx="8308422" cy="4274226"/>
        </a:xfrm>
        <a:prstGeom prst="rect">
          <a:avLst/>
        </a:prstGeom>
      </xdr:spPr>
    </xdr:pic>
    <xdr:clientData/>
  </xdr:twoCellAnchor>
  <xdr:twoCellAnchor editAs="oneCell">
    <xdr:from>
      <xdr:col>21</xdr:col>
      <xdr:colOff>142874</xdr:colOff>
      <xdr:row>24</xdr:row>
      <xdr:rowOff>72131</xdr:rowOff>
    </xdr:from>
    <xdr:to>
      <xdr:col>25</xdr:col>
      <xdr:colOff>1907594</xdr:colOff>
      <xdr:row>45</xdr:row>
      <xdr:rowOff>134798</xdr:rowOff>
    </xdr:to>
    <xdr:pic>
      <xdr:nvPicPr>
        <xdr:cNvPr id="13" name="Picture 12">
          <a:extLst>
            <a:ext uri="{FF2B5EF4-FFF2-40B4-BE49-F238E27FC236}">
              <a16:creationId xmlns:a16="http://schemas.microsoft.com/office/drawing/2014/main" id="{2FCD02B4-0347-6F5D-1A45-3A33FB75C7B4}"/>
            </a:ext>
          </a:extLst>
        </xdr:cNvPr>
        <xdr:cNvPicPr>
          <a:picLocks noChangeAspect="1"/>
        </xdr:cNvPicPr>
      </xdr:nvPicPr>
      <xdr:blipFill>
        <a:blip xmlns:r="http://schemas.openxmlformats.org/officeDocument/2006/relationships" r:embed="rId3"/>
        <a:stretch>
          <a:fillRect/>
        </a:stretch>
      </xdr:blipFill>
      <xdr:spPr>
        <a:xfrm>
          <a:off x="18621374" y="6311006"/>
          <a:ext cx="7641645" cy="42631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104775</xdr:colOff>
      <xdr:row>2</xdr:row>
      <xdr:rowOff>85725</xdr:rowOff>
    </xdr:from>
    <xdr:ext cx="2709011" cy="718530"/>
    <xdr:sp macro="" textlink="">
      <xdr:nvSpPr>
        <xdr:cNvPr id="2" name="TextBox 1">
          <a:extLst>
            <a:ext uri="{FF2B5EF4-FFF2-40B4-BE49-F238E27FC236}">
              <a16:creationId xmlns:a16="http://schemas.microsoft.com/office/drawing/2014/main" id="{0F101E99-8B5D-45EA-974B-0DCA9D321ADB}"/>
            </a:ext>
          </a:extLst>
        </xdr:cNvPr>
        <xdr:cNvSpPr txBox="1"/>
      </xdr:nvSpPr>
      <xdr:spPr>
        <a:xfrm>
          <a:off x="12706350" y="514350"/>
          <a:ext cx="2709011"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solidFill>
                <a:srgbClr val="009999"/>
              </a:solidFill>
            </a:rPr>
            <a:t>1. To assign</a:t>
          </a:r>
          <a:r>
            <a:rPr lang="en-AU" sz="2000" b="1" baseline="0">
              <a:solidFill>
                <a:srgbClr val="009999"/>
              </a:solidFill>
            </a:rPr>
            <a:t> </a:t>
          </a:r>
          <a:r>
            <a:rPr lang="en-AU" sz="2000" b="1">
              <a:solidFill>
                <a:srgbClr val="009999"/>
              </a:solidFill>
            </a:rPr>
            <a:t>Labour cost</a:t>
          </a:r>
        </a:p>
        <a:p>
          <a:r>
            <a:rPr lang="en-AU" sz="2000" b="1">
              <a:solidFill>
                <a:srgbClr val="009999"/>
              </a:solidFill>
            </a:rPr>
            <a:t>x =VLOOKUP()</a:t>
          </a:r>
        </a:p>
      </xdr:txBody>
    </xdr:sp>
    <xdr:clientData/>
  </xdr:oneCellAnchor>
  <xdr:oneCellAnchor>
    <xdr:from>
      <xdr:col>12</xdr:col>
      <xdr:colOff>123825</xdr:colOff>
      <xdr:row>4</xdr:row>
      <xdr:rowOff>257175</xdr:rowOff>
    </xdr:from>
    <xdr:ext cx="3326616" cy="718530"/>
    <xdr:sp macro="" textlink="">
      <xdr:nvSpPr>
        <xdr:cNvPr id="3" name="TextBox 2">
          <a:extLst>
            <a:ext uri="{FF2B5EF4-FFF2-40B4-BE49-F238E27FC236}">
              <a16:creationId xmlns:a16="http://schemas.microsoft.com/office/drawing/2014/main" id="{E481613C-2004-45E4-8B93-EE0A859FA271}"/>
            </a:ext>
          </a:extLst>
        </xdr:cNvPr>
        <xdr:cNvSpPr txBox="1"/>
      </xdr:nvSpPr>
      <xdr:spPr>
        <a:xfrm>
          <a:off x="12725400" y="1714500"/>
          <a:ext cx="3326616" cy="718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000" b="1">
              <a:solidFill>
                <a:srgbClr val="009999"/>
              </a:solidFill>
              <a:effectLst/>
              <a:latin typeface="+mn-lt"/>
              <a:ea typeface="+mn-ea"/>
              <a:cs typeface="+mn-cs"/>
            </a:rPr>
            <a:t>2. To assign Cost for the parts</a:t>
          </a:r>
        </a:p>
        <a:p>
          <a:r>
            <a:rPr lang="en-AU" sz="2000" b="1">
              <a:solidFill>
                <a:srgbClr val="009999"/>
              </a:solidFill>
              <a:effectLst/>
              <a:latin typeface="+mn-lt"/>
              <a:ea typeface="+mn-ea"/>
              <a:cs typeface="+mn-cs"/>
            </a:rPr>
            <a:t>X = min+ (max-min)*rand()</a:t>
          </a:r>
          <a:endParaRPr lang="en-AU" sz="2000" b="1">
            <a:solidFill>
              <a:srgbClr val="009999"/>
            </a:solidFill>
          </a:endParaRPr>
        </a:p>
      </xdr:txBody>
    </xdr:sp>
    <xdr:clientData/>
  </xdr:oneCellAnchor>
  <xdr:oneCellAnchor>
    <xdr:from>
      <xdr:col>12</xdr:col>
      <xdr:colOff>95249</xdr:colOff>
      <xdr:row>7</xdr:row>
      <xdr:rowOff>133350</xdr:rowOff>
    </xdr:from>
    <xdr:ext cx="12734926" cy="1516954"/>
    <xdr:sp macro="" textlink="">
      <xdr:nvSpPr>
        <xdr:cNvPr id="4" name="TextBox 3">
          <a:extLst>
            <a:ext uri="{FF2B5EF4-FFF2-40B4-BE49-F238E27FC236}">
              <a16:creationId xmlns:a16="http://schemas.microsoft.com/office/drawing/2014/main" id="{315FA66D-0B16-426F-884A-DFE3BC365196}"/>
            </a:ext>
          </a:extLst>
        </xdr:cNvPr>
        <xdr:cNvSpPr txBox="1"/>
      </xdr:nvSpPr>
      <xdr:spPr>
        <a:xfrm>
          <a:off x="12696824" y="2733675"/>
          <a:ext cx="12734926" cy="15169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eaLnBrk="1" fontAlgn="auto" latinLnBrk="0" hangingPunct="1"/>
          <a:r>
            <a:rPr lang="en-AU" sz="2000" b="1">
              <a:solidFill>
                <a:srgbClr val="009999"/>
              </a:solidFill>
              <a:effectLst/>
              <a:latin typeface="+mn-lt"/>
              <a:ea typeface="+mn-ea"/>
              <a:cs typeface="+mn-cs"/>
            </a:rPr>
            <a:t>3. To assign Demand</a:t>
          </a:r>
          <a:endParaRPr lang="en-AU" sz="2000">
            <a:solidFill>
              <a:srgbClr val="009999"/>
            </a:solidFill>
            <a:effectLst/>
          </a:endParaRPr>
        </a:p>
        <a:p>
          <a:pPr rtl="0" eaLnBrk="1" fontAlgn="auto" latinLnBrk="0" hangingPunct="1"/>
          <a:r>
            <a:rPr lang="en-AU" sz="2000" b="1" i="1">
              <a:solidFill>
                <a:srgbClr val="009999"/>
              </a:solidFill>
              <a:effectLst/>
              <a:latin typeface="+mn-lt"/>
              <a:ea typeface="+mn-ea"/>
              <a:cs typeface="+mn-cs"/>
            </a:rPr>
            <a:t>x = max(0, norm.inv(rand(),15000,4500)</a:t>
          </a:r>
          <a:endParaRPr lang="en-AU" sz="2000">
            <a:solidFill>
              <a:srgbClr val="009999"/>
            </a:solidFill>
            <a:effectLst/>
          </a:endParaRPr>
        </a:p>
        <a:p>
          <a:pPr rtl="0" eaLnBrk="1" fontAlgn="auto" latinLnBrk="0" hangingPunct="1"/>
          <a:r>
            <a:rPr lang="en-AU" sz="2000" b="1" i="1">
              <a:solidFill>
                <a:srgbClr val="009999"/>
              </a:solidFill>
              <a:effectLst/>
              <a:latin typeface="+mn-lt"/>
              <a:ea typeface="+mn-ea"/>
              <a:cs typeface="+mn-cs"/>
            </a:rPr>
            <a:t>x = max(0, norm.inv(rand(),11000,4500)</a:t>
          </a:r>
          <a:endParaRPr lang="en-AU" sz="2000">
            <a:solidFill>
              <a:srgbClr val="009999"/>
            </a:solidFill>
            <a:effectLst/>
          </a:endParaRPr>
        </a:p>
        <a:p>
          <a:pPr rtl="0" eaLnBrk="1" fontAlgn="auto" latinLnBrk="0" hangingPunct="1"/>
          <a:r>
            <a:rPr lang="en-AU" sz="2000" b="1" i="1">
              <a:solidFill>
                <a:srgbClr val="009999"/>
              </a:solidFill>
              <a:effectLst/>
              <a:latin typeface="+mn-lt"/>
              <a:ea typeface="+mn-ea"/>
              <a:cs typeface="+mn-cs"/>
            </a:rPr>
            <a:t>x= IF(Selling_price_per_unit=249,MAX(0,NORM.INV(RAND(),15000,4500),MAX(0,NORM.INV(RAND(),11000,4500))))</a:t>
          </a:r>
          <a:endParaRPr lang="en-AU" sz="2000">
            <a:solidFill>
              <a:srgbClr val="009999"/>
            </a:solidFill>
            <a:effectLst/>
          </a:endParaRPr>
        </a:p>
        <a:p>
          <a:endParaRPr lang="en-AU"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zahrah\OneDrive%20-%20Deakin%20University\Week6%20MIS775\2017-T1\Fitting%20distribu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oice of Distribution"/>
      <sheetName val="fit Uniform Distribution"/>
      <sheetName val="fit Poisson Dist-Example 1"/>
      <sheetName val="fit Poisson Dist-Example 2"/>
      <sheetName val="fit Normal Dist"/>
      <sheetName val="fit Beta Dist"/>
    </sheetNames>
    <sheetDataSet>
      <sheetData sheetId="0"/>
      <sheetData sheetId="1"/>
      <sheetData sheetId="2"/>
      <sheetData sheetId="3"/>
      <sheetData sheetId="4"/>
      <sheetData sheetId="5">
        <row r="11">
          <cell r="G11">
            <v>0.29284543926798223</v>
          </cell>
        </row>
        <row r="12">
          <cell r="G12">
            <v>2.5792115389069E-2</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24"/>
  <sheetViews>
    <sheetView showGridLines="0" zoomScaleNormal="100" workbookViewId="0">
      <selection activeCell="W14" sqref="W14"/>
    </sheetView>
  </sheetViews>
  <sheetFormatPr defaultRowHeight="15" x14ac:dyDescent="0.25"/>
  <cols>
    <col min="1" max="1" width="4.5703125" customWidth="1"/>
  </cols>
  <sheetData>
    <row r="1" spans="2:18" ht="18.75" x14ac:dyDescent="0.3">
      <c r="Q1" s="3"/>
      <c r="R1" s="3"/>
    </row>
    <row r="2" spans="2:18" ht="15.6" customHeight="1" x14ac:dyDescent="0.3">
      <c r="B2" s="39" t="s">
        <v>56</v>
      </c>
      <c r="C2" s="37"/>
      <c r="D2" s="37"/>
      <c r="E2" s="37"/>
      <c r="F2" s="37"/>
      <c r="G2" s="37"/>
      <c r="H2" s="37"/>
      <c r="I2" s="37"/>
      <c r="J2" s="37"/>
      <c r="K2" s="37"/>
      <c r="L2" s="27"/>
      <c r="M2" s="3"/>
      <c r="N2" s="3"/>
      <c r="O2" s="3"/>
      <c r="P2" s="3"/>
      <c r="Q2" s="3"/>
      <c r="R2" s="3"/>
    </row>
    <row r="3" spans="2:18" ht="18.75" customHeight="1" x14ac:dyDescent="0.3">
      <c r="B3" s="103" t="s">
        <v>54</v>
      </c>
      <c r="C3" s="103"/>
      <c r="D3" s="103"/>
      <c r="E3" s="103"/>
      <c r="F3" s="103"/>
      <c r="G3" s="103"/>
      <c r="H3" s="103"/>
      <c r="I3" s="103"/>
      <c r="J3" s="103"/>
      <c r="K3" s="103"/>
      <c r="L3" s="27"/>
      <c r="M3" s="3"/>
      <c r="N3" s="3"/>
      <c r="O3" s="3"/>
      <c r="P3" s="3"/>
      <c r="Q3" s="3"/>
      <c r="R3" s="3"/>
    </row>
    <row r="4" spans="2:18" ht="18.75" x14ac:dyDescent="0.3">
      <c r="B4" s="103"/>
      <c r="C4" s="103"/>
      <c r="D4" s="103"/>
      <c r="E4" s="103"/>
      <c r="F4" s="103"/>
      <c r="G4" s="103"/>
      <c r="H4" s="103"/>
      <c r="I4" s="103"/>
      <c r="J4" s="103"/>
      <c r="K4" s="103"/>
      <c r="L4" s="3"/>
      <c r="M4" s="3"/>
      <c r="N4" s="3"/>
      <c r="O4" s="3"/>
      <c r="P4" s="3"/>
      <c r="Q4" s="3"/>
      <c r="R4" s="3"/>
    </row>
    <row r="5" spans="2:18" ht="18.75" x14ac:dyDescent="0.3">
      <c r="B5" s="103"/>
      <c r="C5" s="103"/>
      <c r="D5" s="103"/>
      <c r="E5" s="103"/>
      <c r="F5" s="103"/>
      <c r="G5" s="103"/>
      <c r="H5" s="103"/>
      <c r="I5" s="103"/>
      <c r="J5" s="103"/>
      <c r="K5" s="103"/>
      <c r="L5" s="3"/>
      <c r="M5" s="3"/>
      <c r="N5" s="3"/>
      <c r="O5" s="3"/>
      <c r="P5" s="3"/>
      <c r="Q5" s="3"/>
      <c r="R5" s="3"/>
    </row>
    <row r="6" spans="2:18" ht="18.75" x14ac:dyDescent="0.3">
      <c r="B6" s="40"/>
      <c r="C6" s="38"/>
      <c r="D6" s="38"/>
      <c r="E6" s="38"/>
      <c r="F6" s="38"/>
      <c r="G6" s="38"/>
      <c r="H6" s="38"/>
      <c r="I6" s="38"/>
      <c r="J6" s="38"/>
      <c r="K6" s="38"/>
      <c r="L6" s="3"/>
      <c r="M6" s="3"/>
      <c r="N6" s="3"/>
      <c r="O6" s="3"/>
      <c r="P6" s="3"/>
      <c r="Q6" s="3"/>
      <c r="R6" s="3"/>
    </row>
    <row r="7" spans="2:18" ht="18.75" customHeight="1" x14ac:dyDescent="0.3">
      <c r="B7" s="103" t="s">
        <v>55</v>
      </c>
      <c r="C7" s="103"/>
      <c r="D7" s="103"/>
      <c r="E7" s="103"/>
      <c r="F7" s="103"/>
      <c r="G7" s="103"/>
      <c r="H7" s="103"/>
      <c r="I7" s="103"/>
      <c r="J7" s="103"/>
      <c r="K7" s="103"/>
      <c r="L7" s="3"/>
      <c r="M7" s="3"/>
      <c r="N7" s="3"/>
      <c r="O7" s="3"/>
      <c r="P7" s="3"/>
      <c r="Q7" s="3"/>
      <c r="R7" s="3"/>
    </row>
    <row r="8" spans="2:18" ht="15.75" customHeight="1" x14ac:dyDescent="0.25">
      <c r="B8" s="103"/>
      <c r="C8" s="103"/>
      <c r="D8" s="103"/>
      <c r="E8" s="103"/>
      <c r="F8" s="103"/>
      <c r="G8" s="103"/>
      <c r="H8" s="103"/>
      <c r="I8" s="103"/>
      <c r="J8" s="103"/>
      <c r="K8" s="103"/>
    </row>
    <row r="9" spans="2:18" ht="18.75" x14ac:dyDescent="0.3">
      <c r="B9" s="38"/>
      <c r="C9" s="38"/>
      <c r="D9" s="38"/>
      <c r="E9" s="38"/>
      <c r="F9" s="38"/>
      <c r="G9" s="38"/>
      <c r="H9" s="38"/>
      <c r="I9" s="38"/>
      <c r="J9" s="38"/>
      <c r="K9" s="38"/>
    </row>
    <row r="10" spans="2:18" ht="18.75" x14ac:dyDescent="0.3">
      <c r="B10" s="41" t="s">
        <v>57</v>
      </c>
      <c r="C10" s="41"/>
      <c r="D10" s="41"/>
      <c r="E10" s="41"/>
      <c r="F10" s="41"/>
      <c r="G10" s="41"/>
      <c r="H10" s="41"/>
      <c r="I10" s="41"/>
      <c r="J10" s="41"/>
      <c r="K10" s="41"/>
    </row>
    <row r="11" spans="2:18" ht="18.75" x14ac:dyDescent="0.3">
      <c r="B11" s="38"/>
      <c r="C11" s="38"/>
      <c r="D11" s="38"/>
      <c r="E11" s="38"/>
      <c r="F11" s="38"/>
      <c r="G11" s="38"/>
      <c r="H11" s="38"/>
      <c r="I11" s="38"/>
      <c r="J11" s="38"/>
      <c r="K11" s="38"/>
    </row>
    <row r="13" spans="2:18" ht="26.25" customHeight="1" x14ac:dyDescent="0.35">
      <c r="B13" s="6" t="s">
        <v>16</v>
      </c>
    </row>
    <row r="14" spans="2:18" ht="18.75" x14ac:dyDescent="0.3">
      <c r="B14" s="3"/>
      <c r="C14" s="3"/>
      <c r="D14" s="3"/>
      <c r="E14" s="3"/>
      <c r="F14" s="3"/>
      <c r="G14" s="3"/>
      <c r="H14" s="3"/>
      <c r="I14" s="3"/>
      <c r="J14" s="3"/>
      <c r="K14" s="3"/>
      <c r="L14" s="3"/>
      <c r="M14" s="3"/>
      <c r="N14" s="3"/>
      <c r="O14" s="3"/>
      <c r="P14" s="3"/>
    </row>
    <row r="15" spans="2:18" ht="18.75" x14ac:dyDescent="0.3">
      <c r="B15" s="102" t="s">
        <v>46</v>
      </c>
      <c r="C15" s="102"/>
      <c r="D15" s="102"/>
      <c r="E15" s="102"/>
      <c r="F15" s="102"/>
      <c r="G15" s="102"/>
      <c r="H15" s="102"/>
      <c r="I15" s="102"/>
      <c r="J15" s="102"/>
      <c r="K15" s="102"/>
      <c r="L15" s="102"/>
      <c r="M15" s="25"/>
      <c r="N15" s="3"/>
      <c r="O15" s="3"/>
      <c r="P15" s="3"/>
    </row>
    <row r="16" spans="2:18" ht="18.75" x14ac:dyDescent="0.3">
      <c r="B16" s="102"/>
      <c r="C16" s="102"/>
      <c r="D16" s="102"/>
      <c r="E16" s="102"/>
      <c r="F16" s="102"/>
      <c r="G16" s="102"/>
      <c r="H16" s="102"/>
      <c r="I16" s="102"/>
      <c r="J16" s="102"/>
      <c r="K16" s="102"/>
      <c r="L16" s="102"/>
      <c r="M16" s="25"/>
      <c r="N16" s="3"/>
      <c r="O16" s="3"/>
      <c r="P16" s="3"/>
    </row>
    <row r="17" spans="2:16" ht="18.75" x14ac:dyDescent="0.3">
      <c r="B17" s="102"/>
      <c r="C17" s="102"/>
      <c r="D17" s="102"/>
      <c r="E17" s="102"/>
      <c r="F17" s="102"/>
      <c r="G17" s="102"/>
      <c r="H17" s="102"/>
      <c r="I17" s="102"/>
      <c r="J17" s="102"/>
      <c r="K17" s="102"/>
      <c r="L17" s="102"/>
      <c r="M17" s="25"/>
      <c r="N17" s="3"/>
      <c r="O17" s="3"/>
      <c r="P17" s="3"/>
    </row>
    <row r="18" spans="2:16" ht="18.75" x14ac:dyDescent="0.3">
      <c r="B18" s="25"/>
      <c r="C18" s="25"/>
      <c r="D18" s="25"/>
      <c r="E18" s="25"/>
      <c r="F18" s="25"/>
      <c r="G18" s="25"/>
      <c r="H18" s="25"/>
      <c r="I18" s="25"/>
      <c r="J18" s="25"/>
      <c r="K18" s="25"/>
      <c r="L18" s="25"/>
      <c r="M18" s="25"/>
      <c r="N18" s="3"/>
      <c r="O18" s="3"/>
      <c r="P18" s="3"/>
    </row>
    <row r="19" spans="2:16" ht="22.5" customHeight="1" x14ac:dyDescent="0.3">
      <c r="B19" s="101" t="s">
        <v>86</v>
      </c>
      <c r="C19" s="101"/>
      <c r="D19" s="101"/>
      <c r="E19" s="101"/>
      <c r="F19" s="101"/>
      <c r="G19" s="101"/>
      <c r="H19" s="68"/>
      <c r="I19" s="68"/>
      <c r="J19" s="68"/>
      <c r="K19" s="68"/>
      <c r="L19" s="68"/>
      <c r="M19" s="68"/>
      <c r="N19" s="69"/>
      <c r="O19" s="69"/>
      <c r="P19" s="3"/>
    </row>
    <row r="20" spans="2:16" ht="18.75" x14ac:dyDescent="0.3">
      <c r="B20" s="69" t="s">
        <v>85</v>
      </c>
      <c r="C20" s="68"/>
      <c r="D20" s="68"/>
      <c r="E20" s="68"/>
      <c r="F20" s="68"/>
      <c r="G20" s="68"/>
      <c r="H20" s="68"/>
      <c r="I20" s="68"/>
      <c r="J20" s="68"/>
      <c r="K20" s="68"/>
      <c r="L20" s="68"/>
      <c r="M20" s="68"/>
      <c r="N20" s="69"/>
      <c r="O20" s="69"/>
      <c r="P20" s="3"/>
    </row>
    <row r="21" spans="2:16" ht="18.75" x14ac:dyDescent="0.3">
      <c r="B21" s="69" t="s">
        <v>84</v>
      </c>
      <c r="C21" s="68"/>
      <c r="D21" s="68"/>
      <c r="E21" s="68"/>
      <c r="F21" s="68"/>
      <c r="G21" s="68"/>
      <c r="H21" s="68"/>
      <c r="I21" s="68"/>
      <c r="J21" s="68"/>
      <c r="K21" s="68"/>
      <c r="L21" s="68"/>
      <c r="M21" s="68"/>
      <c r="N21" s="69"/>
      <c r="O21" s="69"/>
      <c r="P21" s="3"/>
    </row>
    <row r="22" spans="2:16" ht="18.75" x14ac:dyDescent="0.3">
      <c r="B22" s="70" t="s">
        <v>80</v>
      </c>
      <c r="C22" s="69"/>
      <c r="D22" s="69"/>
      <c r="E22" s="69"/>
      <c r="F22" s="69"/>
      <c r="G22" s="69"/>
      <c r="H22" s="69"/>
      <c r="I22" s="69"/>
      <c r="J22" s="69"/>
      <c r="K22" s="69"/>
      <c r="L22" s="69"/>
      <c r="M22" s="69"/>
      <c r="N22" s="69"/>
      <c r="O22" s="69"/>
      <c r="P22" s="3"/>
    </row>
    <row r="23" spans="2:16" ht="18.75" x14ac:dyDescent="0.3">
      <c r="B23" s="3"/>
      <c r="C23" s="3"/>
      <c r="D23" s="3"/>
      <c r="E23" s="3"/>
      <c r="F23" s="3"/>
      <c r="G23" s="3"/>
      <c r="H23" s="3"/>
      <c r="I23" s="3"/>
      <c r="J23" s="3"/>
      <c r="K23" s="3"/>
      <c r="L23" s="3"/>
      <c r="M23" s="3"/>
      <c r="N23" s="3"/>
      <c r="O23" s="3"/>
      <c r="P23" s="3"/>
    </row>
    <row r="24" spans="2:16" ht="18.75" x14ac:dyDescent="0.3">
      <c r="B24" s="2" t="s">
        <v>38</v>
      </c>
      <c r="C24" s="3"/>
      <c r="D24" s="3"/>
      <c r="E24" s="3"/>
      <c r="F24" s="3"/>
      <c r="G24" s="3"/>
      <c r="H24" s="3"/>
      <c r="I24" s="3"/>
      <c r="J24" s="3"/>
      <c r="K24" s="3"/>
      <c r="L24" s="3"/>
      <c r="M24" s="3"/>
      <c r="N24" s="3"/>
      <c r="O24" s="3"/>
      <c r="P24" s="3"/>
    </row>
  </sheetData>
  <mergeCells count="4">
    <mergeCell ref="B19:G19"/>
    <mergeCell ref="B15:L17"/>
    <mergeCell ref="B3:K5"/>
    <mergeCell ref="B7:K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K24"/>
  <sheetViews>
    <sheetView showGridLines="0" zoomScaleNormal="100" workbookViewId="0">
      <selection activeCell="O8" sqref="O8"/>
    </sheetView>
  </sheetViews>
  <sheetFormatPr defaultColWidth="9.28515625" defaultRowHeight="15.75" x14ac:dyDescent="0.25"/>
  <cols>
    <col min="1" max="1" width="4.5703125" style="5" customWidth="1"/>
    <col min="2" max="2" width="9.28515625" style="5"/>
    <col min="3" max="3" width="21" style="5" customWidth="1"/>
    <col min="4" max="4" width="9.28515625" style="5"/>
    <col min="5" max="5" width="23.28515625" style="5" customWidth="1"/>
    <col min="6" max="6" width="14.28515625" style="5" customWidth="1"/>
    <col min="7" max="16384" width="9.28515625" style="5"/>
  </cols>
  <sheetData>
    <row r="1" spans="2:11" ht="23.25" x14ac:dyDescent="0.35">
      <c r="B1" s="20"/>
      <c r="C1" s="20"/>
      <c r="D1" s="20"/>
      <c r="E1" s="20"/>
      <c r="F1" s="20"/>
      <c r="G1" s="20"/>
      <c r="H1" s="20"/>
      <c r="I1" s="20"/>
      <c r="J1" s="20"/>
      <c r="K1" s="20"/>
    </row>
    <row r="2" spans="2:11" ht="23.25" x14ac:dyDescent="0.35">
      <c r="B2" s="21" t="s">
        <v>9</v>
      </c>
      <c r="C2" s="20"/>
      <c r="D2" s="28" t="s">
        <v>0</v>
      </c>
      <c r="E2" s="20"/>
      <c r="F2" s="20"/>
      <c r="G2" s="20"/>
      <c r="H2" s="20"/>
      <c r="I2" s="20"/>
      <c r="J2" s="20"/>
      <c r="K2" s="20"/>
    </row>
    <row r="3" spans="2:11" ht="23.25" x14ac:dyDescent="0.35">
      <c r="B3" s="20"/>
      <c r="C3" s="20"/>
      <c r="D3" s="20"/>
      <c r="E3" s="20"/>
      <c r="F3" s="20"/>
      <c r="G3" s="20"/>
      <c r="H3" s="20"/>
      <c r="I3" s="20"/>
      <c r="J3" s="20"/>
      <c r="K3" s="20"/>
    </row>
    <row r="4" spans="2:11" ht="23.25" x14ac:dyDescent="0.35">
      <c r="B4" s="20"/>
      <c r="C4" s="20"/>
      <c r="D4" s="20"/>
      <c r="E4" s="20"/>
      <c r="F4" s="20"/>
      <c r="G4" s="20"/>
      <c r="H4" s="20"/>
      <c r="I4" s="20"/>
      <c r="J4" s="20"/>
      <c r="K4" s="20"/>
    </row>
    <row r="5" spans="2:11" ht="23.25" x14ac:dyDescent="0.35">
      <c r="B5" s="21" t="s">
        <v>10</v>
      </c>
      <c r="C5" s="20"/>
      <c r="D5" s="24" t="s">
        <v>11</v>
      </c>
      <c r="E5" s="19"/>
      <c r="F5" s="19"/>
      <c r="G5" s="19"/>
      <c r="H5" s="20"/>
      <c r="I5" s="20"/>
      <c r="J5" s="20"/>
      <c r="K5" s="20"/>
    </row>
    <row r="6" spans="2:11" ht="23.25" x14ac:dyDescent="0.35">
      <c r="B6" s="20"/>
      <c r="C6" s="20"/>
      <c r="D6" s="22" t="s">
        <v>12</v>
      </c>
      <c r="E6" s="22"/>
      <c r="F6" s="22"/>
      <c r="G6" s="20"/>
      <c r="H6" s="20"/>
      <c r="I6" s="20"/>
      <c r="J6" s="20"/>
      <c r="K6" s="20"/>
    </row>
    <row r="7" spans="2:11" ht="23.25" x14ac:dyDescent="0.35">
      <c r="B7" s="20"/>
      <c r="C7" s="20"/>
      <c r="D7" s="20"/>
      <c r="E7" s="20"/>
      <c r="F7" s="20"/>
      <c r="G7" s="20"/>
      <c r="H7" s="20"/>
      <c r="I7" s="20"/>
      <c r="J7" s="20"/>
      <c r="K7" s="20"/>
    </row>
    <row r="8" spans="2:11" ht="23.25" x14ac:dyDescent="0.35">
      <c r="B8" s="20"/>
      <c r="C8" s="20"/>
      <c r="D8" s="24" t="s">
        <v>13</v>
      </c>
      <c r="E8" s="19"/>
      <c r="F8" s="19"/>
      <c r="G8" s="19"/>
      <c r="H8" s="19"/>
      <c r="I8" s="20"/>
      <c r="J8" s="20"/>
      <c r="K8" s="20"/>
    </row>
    <row r="9" spans="2:11" ht="23.25" x14ac:dyDescent="0.35">
      <c r="B9" s="20"/>
      <c r="C9" s="20"/>
      <c r="D9" s="48" t="s">
        <v>14</v>
      </c>
      <c r="E9" s="48"/>
      <c r="F9" s="20"/>
      <c r="G9" s="20"/>
      <c r="H9" s="20"/>
      <c r="I9" s="20"/>
      <c r="J9" s="20"/>
      <c r="K9" s="20"/>
    </row>
    <row r="10" spans="2:11" ht="23.25" x14ac:dyDescent="0.35">
      <c r="B10" s="20"/>
      <c r="C10" s="20"/>
      <c r="D10" s="48" t="s">
        <v>15</v>
      </c>
      <c r="E10" s="48"/>
      <c r="F10" s="20"/>
      <c r="G10" s="20"/>
      <c r="H10" s="20"/>
      <c r="I10" s="20"/>
      <c r="J10" s="20"/>
      <c r="K10" s="20"/>
    </row>
    <row r="11" spans="2:11" ht="23.25" x14ac:dyDescent="0.35">
      <c r="B11" s="20"/>
      <c r="C11" s="20"/>
      <c r="D11" s="48" t="s">
        <v>6</v>
      </c>
      <c r="E11" s="48"/>
      <c r="F11" s="20"/>
      <c r="G11" s="20"/>
      <c r="H11" s="20"/>
      <c r="I11" s="20"/>
      <c r="J11" s="20"/>
      <c r="K11" s="20"/>
    </row>
    <row r="12" spans="2:11" ht="23.25" x14ac:dyDescent="0.35">
      <c r="B12" s="20"/>
      <c r="C12" s="20"/>
      <c r="D12" s="20"/>
      <c r="E12" s="20"/>
      <c r="F12" s="20"/>
      <c r="G12" s="20"/>
      <c r="H12" s="20"/>
      <c r="I12" s="20"/>
      <c r="J12" s="20"/>
      <c r="K12" s="20"/>
    </row>
    <row r="13" spans="2:11" ht="23.25" x14ac:dyDescent="0.35">
      <c r="B13" s="20"/>
      <c r="C13" s="20"/>
      <c r="D13" s="24" t="s">
        <v>8</v>
      </c>
      <c r="E13" s="20"/>
      <c r="F13" s="20"/>
      <c r="G13" s="20"/>
      <c r="H13" s="20"/>
      <c r="I13" s="20"/>
      <c r="J13" s="20"/>
      <c r="K13" s="20"/>
    </row>
    <row r="14" spans="2:11" ht="23.25" x14ac:dyDescent="0.35">
      <c r="B14" s="20"/>
      <c r="C14" s="20"/>
      <c r="D14" s="23" t="s">
        <v>36</v>
      </c>
      <c r="E14" s="23"/>
      <c r="F14" s="23"/>
      <c r="G14" s="20"/>
      <c r="H14" s="20"/>
      <c r="I14" s="20"/>
      <c r="J14" s="20"/>
      <c r="K14" s="20"/>
    </row>
    <row r="15" spans="2:11" ht="23.25" x14ac:dyDescent="0.35">
      <c r="B15" s="20"/>
      <c r="C15" s="20"/>
      <c r="D15" s="23" t="s">
        <v>37</v>
      </c>
      <c r="E15" s="23"/>
      <c r="F15" s="23"/>
      <c r="G15" s="20"/>
      <c r="H15" s="20"/>
      <c r="I15" s="20"/>
      <c r="J15" s="20"/>
      <c r="K15" s="20"/>
    </row>
    <row r="16" spans="2:11" ht="23.25" x14ac:dyDescent="0.35">
      <c r="B16" s="20"/>
      <c r="C16" s="20"/>
      <c r="D16" s="20"/>
      <c r="E16" s="20"/>
      <c r="F16" s="20"/>
      <c r="G16" s="20"/>
      <c r="H16" s="20"/>
      <c r="I16" s="20"/>
      <c r="J16" s="20"/>
      <c r="K16" s="20"/>
    </row>
    <row r="17" spans="2:11" ht="23.25" x14ac:dyDescent="0.35">
      <c r="B17" s="20"/>
      <c r="C17" s="20"/>
      <c r="D17" s="20"/>
      <c r="E17" s="20"/>
      <c r="F17" s="20"/>
      <c r="G17" s="20"/>
      <c r="H17" s="20"/>
      <c r="I17" s="20"/>
      <c r="J17" s="20"/>
      <c r="K17" s="20"/>
    </row>
    <row r="18" spans="2:11" ht="23.25" x14ac:dyDescent="0.35">
      <c r="B18" s="20"/>
      <c r="C18" s="20"/>
      <c r="D18" s="20"/>
      <c r="E18" s="20"/>
      <c r="F18" s="20"/>
      <c r="G18" s="20"/>
      <c r="H18" s="20"/>
      <c r="I18" s="20"/>
      <c r="J18" s="20"/>
      <c r="K18" s="20"/>
    </row>
    <row r="19" spans="2:11" ht="23.25" x14ac:dyDescent="0.35">
      <c r="B19" s="20"/>
      <c r="C19" s="20"/>
      <c r="D19" s="20"/>
      <c r="E19" s="20"/>
      <c r="F19" s="20"/>
      <c r="G19" s="20"/>
      <c r="H19" s="20"/>
      <c r="I19" s="20"/>
      <c r="J19" s="20"/>
      <c r="K19" s="20"/>
    </row>
    <row r="20" spans="2:11" ht="23.25" x14ac:dyDescent="0.35">
      <c r="B20" s="20"/>
      <c r="C20" s="20"/>
      <c r="D20" s="20"/>
      <c r="E20" s="20"/>
      <c r="F20" s="20"/>
      <c r="G20" s="20"/>
      <c r="H20" s="20"/>
      <c r="I20" s="20"/>
      <c r="J20" s="20"/>
      <c r="K20" s="20"/>
    </row>
    <row r="21" spans="2:11" ht="23.25" x14ac:dyDescent="0.35">
      <c r="B21" s="20"/>
      <c r="C21" s="20"/>
      <c r="D21" s="20"/>
      <c r="E21" s="20"/>
      <c r="F21" s="20"/>
      <c r="G21" s="20"/>
      <c r="H21" s="20"/>
      <c r="I21" s="20"/>
      <c r="J21" s="20"/>
      <c r="K21" s="20"/>
    </row>
    <row r="22" spans="2:11" ht="23.25" x14ac:dyDescent="0.35">
      <c r="B22" s="20"/>
      <c r="C22" s="20"/>
      <c r="D22" s="20"/>
      <c r="E22" s="20"/>
      <c r="F22" s="20"/>
      <c r="G22" s="20"/>
      <c r="H22" s="20"/>
      <c r="I22" s="20"/>
      <c r="J22" s="20"/>
      <c r="K22" s="20"/>
    </row>
    <row r="23" spans="2:11" ht="23.25" x14ac:dyDescent="0.35">
      <c r="B23" s="20"/>
      <c r="C23" s="20"/>
      <c r="D23" s="20"/>
      <c r="E23" s="20"/>
      <c r="F23" s="20"/>
      <c r="G23" s="20"/>
      <c r="H23" s="20"/>
      <c r="I23" s="20"/>
      <c r="J23" s="20"/>
      <c r="K23" s="20"/>
    </row>
    <row r="24" spans="2:11" ht="23.25" x14ac:dyDescent="0.35">
      <c r="B24" s="20"/>
      <c r="C24" s="20"/>
      <c r="D24" s="20"/>
      <c r="E24" s="20"/>
      <c r="F24" s="20"/>
      <c r="G24" s="20"/>
      <c r="H24" s="20"/>
      <c r="I24" s="20"/>
      <c r="J24" s="20"/>
      <c r="K24"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zoomScaleNormal="100" workbookViewId="0">
      <selection activeCell="X42" sqref="X42"/>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B804-16FD-4322-B95F-EBF051F058E5}">
  <sheetPr>
    <tabColor rgb="FF00B050"/>
  </sheetPr>
  <dimension ref="C2:P33"/>
  <sheetViews>
    <sheetView workbookViewId="0">
      <selection activeCell="S18" sqref="S18"/>
    </sheetView>
  </sheetViews>
  <sheetFormatPr defaultRowHeight="15" x14ac:dyDescent="0.25"/>
  <cols>
    <col min="3" max="6" width="23.42578125" customWidth="1"/>
    <col min="7" max="7" width="22.5703125" customWidth="1"/>
    <col min="14" max="14" width="25.5703125" customWidth="1"/>
    <col min="15" max="15" width="29.85546875" customWidth="1"/>
    <col min="16" max="16" width="14" customWidth="1"/>
  </cols>
  <sheetData>
    <row r="2" spans="3:16" ht="23.25" x14ac:dyDescent="0.35">
      <c r="C2" s="86" t="s">
        <v>87</v>
      </c>
      <c r="D2" s="65"/>
      <c r="E2" s="65"/>
      <c r="F2" s="65"/>
      <c r="G2" s="65"/>
      <c r="H2" s="65"/>
      <c r="I2" s="65"/>
      <c r="J2" s="20"/>
      <c r="K2" s="20"/>
    </row>
    <row r="3" spans="3:16" ht="87.75" customHeight="1" x14ac:dyDescent="0.35">
      <c r="C3" s="104" t="s">
        <v>73</v>
      </c>
      <c r="D3" s="104"/>
      <c r="E3" s="104"/>
      <c r="F3" s="104"/>
      <c r="G3" s="104"/>
      <c r="H3" s="104"/>
      <c r="I3" s="104"/>
      <c r="J3" s="20"/>
      <c r="K3" s="20"/>
    </row>
    <row r="4" spans="3:16" ht="30.75" customHeight="1" thickBot="1" x14ac:dyDescent="0.4">
      <c r="C4" s="20"/>
      <c r="D4" s="20"/>
      <c r="E4" s="20"/>
      <c r="F4" s="20"/>
      <c r="G4" s="20"/>
      <c r="H4" s="20"/>
      <c r="I4" s="20"/>
      <c r="J4" s="20"/>
      <c r="K4" s="20"/>
    </row>
    <row r="5" spans="3:16" ht="54" customHeight="1" thickBot="1" x14ac:dyDescent="0.4">
      <c r="C5" s="54" t="s">
        <v>4</v>
      </c>
      <c r="D5" s="55" t="s">
        <v>66</v>
      </c>
      <c r="E5" s="20"/>
      <c r="F5" s="20"/>
      <c r="G5" s="20"/>
      <c r="H5" s="20"/>
      <c r="I5" s="20"/>
      <c r="J5" s="20"/>
      <c r="K5" s="20"/>
      <c r="N5" s="55" t="s">
        <v>77</v>
      </c>
      <c r="O5" s="55" t="s">
        <v>78</v>
      </c>
      <c r="P5" s="55" t="s">
        <v>17</v>
      </c>
    </row>
    <row r="6" spans="3:16" ht="30.75" customHeight="1" thickTop="1" thickBot="1" x14ac:dyDescent="0.4">
      <c r="C6" s="56">
        <v>43</v>
      </c>
      <c r="D6" s="57">
        <v>5</v>
      </c>
      <c r="E6" s="20"/>
      <c r="F6" s="20"/>
      <c r="G6" s="20"/>
      <c r="H6" s="20"/>
      <c r="I6" s="20"/>
      <c r="J6" s="20"/>
      <c r="K6" s="20"/>
      <c r="N6" s="57">
        <v>0</v>
      </c>
      <c r="O6" s="57">
        <v>0.1</v>
      </c>
      <c r="P6" s="56">
        <v>43</v>
      </c>
    </row>
    <row r="7" spans="3:16" ht="30.75" customHeight="1" thickBot="1" x14ac:dyDescent="0.4">
      <c r="C7" s="58">
        <v>44</v>
      </c>
      <c r="D7" s="59">
        <v>10</v>
      </c>
      <c r="E7" s="20"/>
      <c r="F7" s="20"/>
      <c r="G7" s="20"/>
      <c r="H7" s="20"/>
      <c r="I7" s="20"/>
      <c r="J7" s="20"/>
      <c r="K7" s="20"/>
      <c r="N7" s="59">
        <v>0.1</v>
      </c>
      <c r="O7" s="59">
        <v>0.3</v>
      </c>
      <c r="P7" s="58">
        <v>44</v>
      </c>
    </row>
    <row r="8" spans="3:16" ht="30.75" customHeight="1" thickBot="1" x14ac:dyDescent="0.4">
      <c r="C8" s="58">
        <v>45</v>
      </c>
      <c r="D8" s="60">
        <v>20</v>
      </c>
      <c r="E8" s="20"/>
      <c r="F8" s="20"/>
      <c r="G8" s="20"/>
      <c r="H8" s="20"/>
      <c r="I8" s="20"/>
      <c r="J8" s="20"/>
      <c r="K8" s="20"/>
      <c r="N8" s="60">
        <v>0.3</v>
      </c>
      <c r="O8" s="60">
        <v>0.7</v>
      </c>
      <c r="P8" s="58">
        <v>45</v>
      </c>
    </row>
    <row r="9" spans="3:16" ht="24" thickBot="1" x14ac:dyDescent="0.4">
      <c r="C9" s="58">
        <v>46</v>
      </c>
      <c r="D9" s="59">
        <v>10</v>
      </c>
      <c r="E9" s="20"/>
      <c r="F9" s="20"/>
      <c r="G9" s="20"/>
      <c r="H9" s="20"/>
      <c r="I9" s="20"/>
      <c r="J9" s="20"/>
      <c r="K9" s="20"/>
      <c r="N9" s="59">
        <v>0.7</v>
      </c>
      <c r="O9" s="59">
        <v>0.9</v>
      </c>
      <c r="P9" s="58">
        <v>46</v>
      </c>
    </row>
    <row r="10" spans="3:16" ht="24" thickBot="1" x14ac:dyDescent="0.4">
      <c r="C10" s="58">
        <v>47</v>
      </c>
      <c r="D10" s="60">
        <v>5</v>
      </c>
      <c r="E10" s="20"/>
      <c r="F10" s="20"/>
      <c r="G10" s="20"/>
      <c r="H10" s="20"/>
      <c r="I10" s="20"/>
      <c r="J10" s="20"/>
      <c r="K10" s="20"/>
      <c r="N10" s="60">
        <v>0.9</v>
      </c>
      <c r="O10" s="60">
        <v>1</v>
      </c>
      <c r="P10" s="58">
        <v>47</v>
      </c>
    </row>
    <row r="11" spans="3:16" ht="24" thickBot="1" x14ac:dyDescent="0.4">
      <c r="C11" s="61"/>
      <c r="D11" s="62">
        <v>50</v>
      </c>
      <c r="E11" s="20"/>
      <c r="F11" s="20"/>
      <c r="G11" s="20"/>
      <c r="H11" s="20"/>
      <c r="I11" s="20"/>
      <c r="J11" s="20"/>
      <c r="K11" s="20"/>
      <c r="O11" s="61"/>
    </row>
    <row r="12" spans="3:16" ht="23.25" x14ac:dyDescent="0.35">
      <c r="C12" s="20"/>
      <c r="D12" s="20"/>
      <c r="E12" s="20"/>
      <c r="F12" s="20"/>
      <c r="G12" s="20"/>
      <c r="H12" s="20"/>
      <c r="I12" s="20"/>
      <c r="J12" s="20"/>
      <c r="K12" s="20"/>
    </row>
    <row r="13" spans="3:16" ht="23.25" x14ac:dyDescent="0.35">
      <c r="C13" s="20"/>
      <c r="D13" s="20"/>
      <c r="E13" s="20"/>
      <c r="F13" s="20"/>
      <c r="G13" s="20"/>
      <c r="H13" s="20"/>
      <c r="I13" s="20"/>
      <c r="J13" s="20"/>
      <c r="K13" s="20"/>
    </row>
    <row r="14" spans="3:16" ht="23.25" x14ac:dyDescent="0.35">
      <c r="C14" s="65" t="s">
        <v>59</v>
      </c>
      <c r="D14" s="65"/>
      <c r="E14" s="65"/>
      <c r="F14" s="65"/>
      <c r="G14" s="65"/>
      <c r="H14" s="65"/>
      <c r="I14" s="65"/>
      <c r="J14" s="65"/>
      <c r="K14" s="65"/>
      <c r="L14" s="42"/>
      <c r="M14" s="42"/>
    </row>
    <row r="15" spans="3:16" ht="23.25" x14ac:dyDescent="0.35">
      <c r="C15" s="65" t="s">
        <v>60</v>
      </c>
      <c r="D15" s="65"/>
      <c r="E15" s="65"/>
      <c r="F15" s="65"/>
      <c r="G15" s="65"/>
      <c r="H15" s="65"/>
      <c r="I15" s="65"/>
      <c r="J15" s="65"/>
      <c r="K15" s="65"/>
      <c r="L15" s="42"/>
      <c r="M15" s="42"/>
    </row>
    <row r="16" spans="3:16" ht="24" thickBot="1" x14ac:dyDescent="0.4">
      <c r="C16" s="20"/>
      <c r="D16" s="20"/>
      <c r="E16" s="20"/>
      <c r="F16" s="20"/>
      <c r="G16" s="20"/>
      <c r="H16" s="20"/>
      <c r="I16" s="20"/>
      <c r="J16" s="20"/>
      <c r="K16" s="20"/>
      <c r="N16" s="64" t="s">
        <v>58</v>
      </c>
    </row>
    <row r="17" spans="3:15" ht="47.25" thickBot="1" x14ac:dyDescent="0.4">
      <c r="C17" s="54" t="s">
        <v>4</v>
      </c>
      <c r="D17" s="55" t="s">
        <v>66</v>
      </c>
      <c r="E17" s="55" t="s">
        <v>18</v>
      </c>
      <c r="F17" s="55" t="s">
        <v>74</v>
      </c>
      <c r="G17" s="55" t="s">
        <v>67</v>
      </c>
      <c r="H17" s="20"/>
      <c r="I17" s="20"/>
      <c r="J17" s="20"/>
      <c r="K17" s="20"/>
      <c r="M17" s="17"/>
      <c r="N17" s="97" t="s">
        <v>76</v>
      </c>
      <c r="O17" s="97" t="s">
        <v>75</v>
      </c>
    </row>
    <row r="18" spans="3:15" ht="24.75" thickTop="1" thickBot="1" x14ac:dyDescent="0.4">
      <c r="C18" s="56">
        <v>43</v>
      </c>
      <c r="D18" s="57">
        <v>5</v>
      </c>
      <c r="E18" s="57">
        <v>0.1</v>
      </c>
      <c r="F18" s="57">
        <v>0.1</v>
      </c>
      <c r="G18" s="57" t="s">
        <v>68</v>
      </c>
      <c r="H18" s="20"/>
      <c r="I18" s="20"/>
      <c r="J18" s="20"/>
      <c r="K18" s="20"/>
      <c r="M18" s="17">
        <v>1</v>
      </c>
      <c r="N18" s="73">
        <f ca="1">RAND()</f>
        <v>0.59563929243666125</v>
      </c>
      <c r="O18" s="71" t="s">
        <v>79</v>
      </c>
    </row>
    <row r="19" spans="3:15" ht="24" thickBot="1" x14ac:dyDescent="0.4">
      <c r="C19" s="58">
        <v>44</v>
      </c>
      <c r="D19" s="59">
        <v>10</v>
      </c>
      <c r="E19" s="59">
        <v>0.2</v>
      </c>
      <c r="F19" s="59">
        <v>0.3</v>
      </c>
      <c r="G19" s="59" t="s">
        <v>69</v>
      </c>
      <c r="H19" s="20"/>
      <c r="I19" s="20"/>
      <c r="J19" s="20"/>
      <c r="K19" s="20"/>
      <c r="M19" s="17">
        <v>2</v>
      </c>
      <c r="N19" s="73" t="s">
        <v>79</v>
      </c>
      <c r="O19" s="71" t="s">
        <v>79</v>
      </c>
    </row>
    <row r="20" spans="3:15" ht="24" thickBot="1" x14ac:dyDescent="0.4">
      <c r="C20" s="58">
        <v>45</v>
      </c>
      <c r="D20" s="60">
        <v>20</v>
      </c>
      <c r="E20" s="60">
        <v>0.4</v>
      </c>
      <c r="F20" s="60">
        <v>0.7</v>
      </c>
      <c r="G20" s="60" t="s">
        <v>70</v>
      </c>
      <c r="H20" s="20"/>
      <c r="I20" s="20"/>
      <c r="J20" s="20"/>
      <c r="K20" s="20"/>
      <c r="M20" s="17">
        <v>3</v>
      </c>
      <c r="N20" s="73" t="s">
        <v>79</v>
      </c>
      <c r="O20" s="71" t="s">
        <v>79</v>
      </c>
    </row>
    <row r="21" spans="3:15" ht="24" thickBot="1" x14ac:dyDescent="0.4">
      <c r="C21" s="58">
        <v>46</v>
      </c>
      <c r="D21" s="59">
        <v>10</v>
      </c>
      <c r="E21" s="59">
        <v>0.2</v>
      </c>
      <c r="F21" s="59">
        <v>0.9</v>
      </c>
      <c r="G21" s="59" t="s">
        <v>71</v>
      </c>
      <c r="H21" s="20"/>
      <c r="I21" s="20"/>
      <c r="J21" s="20"/>
      <c r="K21" s="20"/>
      <c r="M21" s="17">
        <v>4</v>
      </c>
      <c r="N21" s="73" t="s">
        <v>79</v>
      </c>
      <c r="O21" s="71" t="s">
        <v>79</v>
      </c>
    </row>
    <row r="22" spans="3:15" ht="24" thickBot="1" x14ac:dyDescent="0.4">
      <c r="C22" s="58">
        <v>47</v>
      </c>
      <c r="D22" s="60">
        <v>5</v>
      </c>
      <c r="E22" s="60">
        <v>0.1</v>
      </c>
      <c r="F22" s="60">
        <v>1</v>
      </c>
      <c r="G22" s="60" t="s">
        <v>72</v>
      </c>
      <c r="H22" s="20"/>
      <c r="I22" s="20"/>
      <c r="J22" s="20"/>
      <c r="K22" s="20"/>
      <c r="M22" s="17">
        <v>5</v>
      </c>
      <c r="N22" s="73" t="s">
        <v>79</v>
      </c>
      <c r="O22" s="71" t="s">
        <v>79</v>
      </c>
    </row>
    <row r="23" spans="3:15" ht="24" thickBot="1" x14ac:dyDescent="0.4">
      <c r="C23" s="61"/>
      <c r="D23" s="62">
        <v>50</v>
      </c>
      <c r="E23" s="62">
        <v>1</v>
      </c>
      <c r="F23" s="63"/>
      <c r="G23" s="63"/>
      <c r="H23" s="20"/>
      <c r="I23" s="20"/>
      <c r="J23" s="20"/>
      <c r="K23" s="20"/>
    </row>
    <row r="24" spans="3:15" ht="23.25" x14ac:dyDescent="0.35">
      <c r="C24" s="20"/>
      <c r="D24" s="20"/>
      <c r="E24" s="20"/>
      <c r="F24" s="20"/>
      <c r="G24" s="20"/>
      <c r="H24" s="20"/>
      <c r="I24" s="20"/>
      <c r="J24" s="20"/>
      <c r="K24" s="20"/>
    </row>
    <row r="25" spans="3:15" ht="23.25" x14ac:dyDescent="0.35">
      <c r="C25" s="105" t="s">
        <v>61</v>
      </c>
      <c r="D25" s="105"/>
      <c r="E25" s="105"/>
      <c r="F25" s="105"/>
      <c r="G25" s="105"/>
      <c r="H25" s="105"/>
      <c r="I25" s="105"/>
      <c r="J25" s="20"/>
      <c r="K25" s="20"/>
    </row>
    <row r="26" spans="3:15" ht="23.25" x14ac:dyDescent="0.35">
      <c r="C26" s="105"/>
      <c r="D26" s="105"/>
      <c r="E26" s="105"/>
      <c r="F26" s="105"/>
      <c r="G26" s="105"/>
      <c r="H26" s="105"/>
      <c r="I26" s="105"/>
      <c r="J26" s="20"/>
      <c r="K26" s="20"/>
    </row>
    <row r="27" spans="3:15" ht="46.5" customHeight="1" x14ac:dyDescent="0.35">
      <c r="C27" s="105" t="s">
        <v>62</v>
      </c>
      <c r="D27" s="105"/>
      <c r="E27" s="105"/>
      <c r="F27" s="105"/>
      <c r="G27" s="105"/>
      <c r="H27" s="105"/>
      <c r="I27" s="105"/>
      <c r="J27" s="20"/>
      <c r="K27" s="20"/>
    </row>
    <row r="28" spans="3:15" ht="23.25" x14ac:dyDescent="0.35">
      <c r="C28" s="66" t="s">
        <v>63</v>
      </c>
      <c r="D28" s="66"/>
      <c r="E28" s="66"/>
      <c r="F28" s="66"/>
      <c r="G28" s="66"/>
      <c r="H28" s="66"/>
      <c r="I28" s="66"/>
      <c r="J28" s="20"/>
      <c r="K28" s="20"/>
    </row>
    <row r="29" spans="3:15" ht="31.5" customHeight="1" x14ac:dyDescent="0.35">
      <c r="C29" s="66" t="s">
        <v>64</v>
      </c>
      <c r="D29" s="66"/>
      <c r="E29" s="66"/>
      <c r="F29" s="66"/>
      <c r="G29" s="66"/>
      <c r="H29" s="66"/>
      <c r="I29" s="66"/>
      <c r="J29" s="20"/>
      <c r="K29" s="20"/>
    </row>
    <row r="30" spans="3:15" ht="21" x14ac:dyDescent="0.35">
      <c r="C30" s="66"/>
      <c r="D30" s="66"/>
      <c r="E30" s="66"/>
      <c r="F30" s="66"/>
      <c r="G30" s="66"/>
      <c r="H30" s="66"/>
      <c r="I30" s="66"/>
    </row>
    <row r="31" spans="3:15" x14ac:dyDescent="0.25">
      <c r="C31" s="105" t="s">
        <v>65</v>
      </c>
      <c r="D31" s="105"/>
      <c r="E31" s="105"/>
      <c r="F31" s="105"/>
      <c r="G31" s="105"/>
      <c r="H31" s="105"/>
      <c r="I31" s="105"/>
    </row>
    <row r="32" spans="3:15" x14ac:dyDescent="0.25">
      <c r="C32" s="105"/>
      <c r="D32" s="105"/>
      <c r="E32" s="105"/>
      <c r="F32" s="105"/>
      <c r="G32" s="105"/>
      <c r="H32" s="105"/>
      <c r="I32" s="105"/>
    </row>
    <row r="33" spans="3:9" x14ac:dyDescent="0.25">
      <c r="C33" s="105"/>
      <c r="D33" s="105"/>
      <c r="E33" s="105"/>
      <c r="F33" s="105"/>
      <c r="G33" s="105"/>
      <c r="H33" s="105"/>
      <c r="I33" s="105"/>
    </row>
  </sheetData>
  <mergeCells count="4">
    <mergeCell ref="C3:I3"/>
    <mergeCell ref="C25:I26"/>
    <mergeCell ref="C27:I27"/>
    <mergeCell ref="C31:I3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Z38"/>
  <sheetViews>
    <sheetView showGridLines="0" tabSelected="1" workbookViewId="0">
      <selection activeCell="E17" sqref="E17"/>
    </sheetView>
  </sheetViews>
  <sheetFormatPr defaultColWidth="8.7109375" defaultRowHeight="15.75" x14ac:dyDescent="0.25"/>
  <cols>
    <col min="1" max="1" width="4.5703125" style="5" customWidth="1"/>
    <col min="2" max="2" width="26.140625" style="5" customWidth="1"/>
    <col min="3" max="8" width="10.7109375" style="5" customWidth="1"/>
    <col min="9" max="9" width="13" style="5" customWidth="1"/>
    <col min="10" max="10" width="4.140625" style="5" customWidth="1"/>
    <col min="11" max="11" width="4.5703125" style="5" customWidth="1"/>
    <col min="12" max="12" width="29.42578125" style="5" customWidth="1"/>
    <col min="13" max="14" width="10.42578125" style="5" customWidth="1"/>
    <col min="15" max="16" width="4.5703125" style="5" customWidth="1"/>
    <col min="17" max="17" width="7.85546875" style="5" customWidth="1"/>
    <col min="18" max="18" width="9.140625" style="5" customWidth="1"/>
    <col min="19" max="19" width="62.85546875" style="7" customWidth="1"/>
    <col min="20" max="20" width="4.140625" style="5" customWidth="1"/>
    <col min="21" max="21" width="17" style="5" customWidth="1"/>
    <col min="22" max="22" width="17.85546875" style="5" customWidth="1"/>
    <col min="23" max="23" width="37.140625" style="5" customWidth="1"/>
    <col min="24" max="24" width="14.85546875" style="5" customWidth="1"/>
    <col min="25" max="25" width="18.28515625" style="5" customWidth="1"/>
    <col min="26" max="26" width="34.140625" style="5" customWidth="1"/>
    <col min="27" max="16384" width="8.7109375" style="5"/>
  </cols>
  <sheetData>
    <row r="1" spans="2:26" x14ac:dyDescent="0.25">
      <c r="J1" s="77"/>
      <c r="T1" s="77"/>
    </row>
    <row r="2" spans="2:26" ht="18.75" x14ac:dyDescent="0.3">
      <c r="B2" s="2" t="s">
        <v>32</v>
      </c>
      <c r="J2" s="77"/>
      <c r="T2" s="77"/>
    </row>
    <row r="3" spans="2:26" ht="23.25" x14ac:dyDescent="0.35">
      <c r="F3" s="87" t="s">
        <v>47</v>
      </c>
      <c r="G3" s="88"/>
      <c r="H3" s="89"/>
      <c r="I3" s="88"/>
      <c r="J3" s="77"/>
      <c r="K3" s="88"/>
      <c r="L3" s="87" t="s">
        <v>48</v>
      </c>
      <c r="M3" s="88"/>
      <c r="N3" s="18"/>
      <c r="T3" s="77"/>
      <c r="V3" s="87" t="s">
        <v>49</v>
      </c>
      <c r="W3" s="88"/>
    </row>
    <row r="4" spans="2:26" x14ac:dyDescent="0.25">
      <c r="B4" s="4"/>
      <c r="H4" s="8"/>
      <c r="J4" s="77"/>
      <c r="T4" s="77"/>
    </row>
    <row r="5" spans="2:26" ht="18.75" x14ac:dyDescent="0.3">
      <c r="B5" s="15" t="s">
        <v>4</v>
      </c>
      <c r="C5" s="3"/>
      <c r="D5" s="3"/>
      <c r="E5" s="3"/>
      <c r="F5" s="16" t="s">
        <v>28</v>
      </c>
      <c r="G5" s="16"/>
      <c r="H5" s="3"/>
      <c r="I5" s="3"/>
      <c r="J5" s="78"/>
      <c r="K5" s="3"/>
      <c r="L5" s="15" t="s">
        <v>39</v>
      </c>
      <c r="M5" s="3"/>
      <c r="N5" s="3"/>
      <c r="O5" s="3"/>
      <c r="S5" s="26"/>
      <c r="T5" s="78"/>
      <c r="V5" s="15" t="s">
        <v>40</v>
      </c>
      <c r="W5" s="3"/>
      <c r="X5" s="3"/>
    </row>
    <row r="6" spans="2:26" x14ac:dyDescent="0.25">
      <c r="B6" s="9"/>
      <c r="F6" s="14"/>
      <c r="G6" s="14"/>
      <c r="J6" s="77"/>
      <c r="L6" s="9"/>
      <c r="T6" s="77"/>
      <c r="V6" s="9"/>
    </row>
    <row r="7" spans="2:26" x14ac:dyDescent="0.25">
      <c r="D7" s="10" t="s">
        <v>19</v>
      </c>
      <c r="F7" s="10" t="s">
        <v>23</v>
      </c>
      <c r="G7" s="10" t="s">
        <v>22</v>
      </c>
      <c r="J7" s="77"/>
      <c r="M7" s="10" t="s">
        <v>23</v>
      </c>
      <c r="N7" s="10" t="s">
        <v>22</v>
      </c>
      <c r="T7" s="77"/>
      <c r="W7" s="10"/>
      <c r="X7" s="10" t="s">
        <v>26</v>
      </c>
    </row>
    <row r="8" spans="2:26" x14ac:dyDescent="0.25">
      <c r="B8" s="10" t="s">
        <v>17</v>
      </c>
      <c r="C8" s="10" t="s">
        <v>18</v>
      </c>
      <c r="D8" s="10" t="s">
        <v>20</v>
      </c>
      <c r="F8" s="11" t="s">
        <v>24</v>
      </c>
      <c r="G8" s="11" t="s">
        <v>24</v>
      </c>
      <c r="H8" s="11" t="s">
        <v>17</v>
      </c>
      <c r="J8" s="77"/>
      <c r="M8" s="10" t="s">
        <v>24</v>
      </c>
      <c r="N8" s="10" t="s">
        <v>24</v>
      </c>
      <c r="T8" s="77"/>
      <c r="W8" s="10" t="s">
        <v>25</v>
      </c>
      <c r="X8" s="10" t="s">
        <v>27</v>
      </c>
    </row>
    <row r="9" spans="2:26" ht="21" x14ac:dyDescent="0.35">
      <c r="B9" s="12">
        <v>43</v>
      </c>
      <c r="C9" s="13">
        <v>0.1</v>
      </c>
      <c r="D9" s="72" t="s">
        <v>79</v>
      </c>
      <c r="F9" s="72" t="s">
        <v>79</v>
      </c>
      <c r="G9" s="72" t="s">
        <v>79</v>
      </c>
      <c r="H9" s="12">
        <f>B9</f>
        <v>43</v>
      </c>
      <c r="J9" s="77"/>
      <c r="L9" s="10" t="s">
        <v>21</v>
      </c>
      <c r="M9" s="72" t="s">
        <v>79</v>
      </c>
      <c r="N9" s="72" t="s">
        <v>79</v>
      </c>
      <c r="T9" s="77"/>
      <c r="V9" s="5" t="s">
        <v>30</v>
      </c>
      <c r="W9" s="72" t="s">
        <v>79</v>
      </c>
      <c r="X9" s="72" t="s">
        <v>79</v>
      </c>
    </row>
    <row r="10" spans="2:26" ht="21" x14ac:dyDescent="0.35">
      <c r="B10" s="12">
        <v>44</v>
      </c>
      <c r="C10" s="13">
        <v>0.2</v>
      </c>
      <c r="D10" s="72" t="s">
        <v>79</v>
      </c>
      <c r="F10" s="72" t="s">
        <v>79</v>
      </c>
      <c r="G10" s="72" t="s">
        <v>79</v>
      </c>
      <c r="H10" s="12">
        <f t="shared" ref="H10:H13" si="0">B10</f>
        <v>44</v>
      </c>
      <c r="J10" s="77"/>
      <c r="T10" s="77"/>
      <c r="V10" s="5" t="s">
        <v>31</v>
      </c>
      <c r="W10" s="72" t="s">
        <v>79</v>
      </c>
      <c r="X10" s="72" t="s">
        <v>79</v>
      </c>
    </row>
    <row r="11" spans="2:26" ht="21" x14ac:dyDescent="0.35">
      <c r="B11" s="12">
        <v>45</v>
      </c>
      <c r="C11" s="13">
        <v>0.4</v>
      </c>
      <c r="D11" s="72" t="s">
        <v>79</v>
      </c>
      <c r="F11" s="72" t="s">
        <v>79</v>
      </c>
      <c r="G11" s="72" t="s">
        <v>79</v>
      </c>
      <c r="H11" s="12">
        <f t="shared" si="0"/>
        <v>45</v>
      </c>
      <c r="J11" s="77"/>
      <c r="T11" s="77"/>
    </row>
    <row r="12" spans="2:26" ht="21" x14ac:dyDescent="0.35">
      <c r="B12" s="12">
        <v>46</v>
      </c>
      <c r="C12" s="13">
        <v>0.2</v>
      </c>
      <c r="D12" s="72" t="s">
        <v>79</v>
      </c>
      <c r="F12" s="72" t="s">
        <v>79</v>
      </c>
      <c r="G12" s="72" t="s">
        <v>79</v>
      </c>
      <c r="H12" s="12">
        <f t="shared" si="0"/>
        <v>46</v>
      </c>
      <c r="J12" s="77"/>
      <c r="T12" s="77"/>
    </row>
    <row r="13" spans="2:26" ht="21" customHeight="1" x14ac:dyDescent="0.35">
      <c r="B13" s="12">
        <v>47</v>
      </c>
      <c r="C13" s="13">
        <v>0.1</v>
      </c>
      <c r="D13" s="72" t="s">
        <v>79</v>
      </c>
      <c r="F13" s="72" t="s">
        <v>79</v>
      </c>
      <c r="G13" s="72" t="s">
        <v>79</v>
      </c>
      <c r="H13" s="12">
        <f t="shared" si="0"/>
        <v>47</v>
      </c>
      <c r="J13" s="77"/>
      <c r="L13" s="48" t="s">
        <v>5</v>
      </c>
      <c r="M13" s="67">
        <f ca="1">RAND()</f>
        <v>0.76732345451431072</v>
      </c>
      <c r="N13" s="71" t="s">
        <v>79</v>
      </c>
      <c r="O13" s="108" t="s">
        <v>29</v>
      </c>
      <c r="P13" s="109"/>
      <c r="Q13" s="109"/>
      <c r="R13" s="109"/>
      <c r="T13" s="77"/>
    </row>
    <row r="14" spans="2:26" ht="21" x14ac:dyDescent="0.35">
      <c r="J14" s="77"/>
      <c r="T14" s="77"/>
      <c r="W14" s="48" t="s">
        <v>52</v>
      </c>
      <c r="X14" s="67">
        <f ca="1">RAND()</f>
        <v>0.36239734998810158</v>
      </c>
      <c r="Y14" s="71" t="s">
        <v>79</v>
      </c>
      <c r="Z14" s="30" t="s">
        <v>33</v>
      </c>
    </row>
    <row r="15" spans="2:26" ht="21" x14ac:dyDescent="0.35">
      <c r="J15" s="77"/>
      <c r="T15" s="77"/>
      <c r="W15" s="48" t="s">
        <v>53</v>
      </c>
      <c r="X15" s="67">
        <f ca="1">RAND()</f>
        <v>0.36979468539760851</v>
      </c>
      <c r="Y15" s="71" t="s">
        <v>79</v>
      </c>
      <c r="Z15" s="30" t="s">
        <v>33</v>
      </c>
    </row>
    <row r="16" spans="2:26" ht="18.75" x14ac:dyDescent="0.3">
      <c r="B16" s="31" t="s">
        <v>13</v>
      </c>
      <c r="C16" s="32"/>
      <c r="D16" s="32"/>
      <c r="E16" s="32"/>
      <c r="F16" s="32"/>
      <c r="G16" s="3"/>
      <c r="H16" s="3"/>
      <c r="J16" s="77"/>
      <c r="T16" s="77"/>
    </row>
    <row r="17" spans="1:22" ht="42" customHeight="1" x14ac:dyDescent="0.35">
      <c r="B17" s="48" t="s">
        <v>4</v>
      </c>
      <c r="C17" s="48"/>
      <c r="D17" s="67">
        <f ca="1">RAND()</f>
        <v>0.97488335154412964</v>
      </c>
      <c r="E17" s="72" t="s">
        <v>79</v>
      </c>
      <c r="F17" s="106" t="s">
        <v>51</v>
      </c>
      <c r="G17" s="107"/>
      <c r="H17" s="107"/>
      <c r="I17" s="29"/>
      <c r="J17" s="79"/>
      <c r="K17" s="29"/>
      <c r="S17" s="35"/>
      <c r="T17" s="79"/>
      <c r="V17" s="29"/>
    </row>
    <row r="18" spans="1:22" ht="44.25" customHeight="1" x14ac:dyDescent="0.25">
      <c r="J18" s="77"/>
      <c r="T18" s="77"/>
    </row>
    <row r="19" spans="1:22" ht="21" x14ac:dyDescent="0.35">
      <c r="A19" s="33"/>
      <c r="B19" s="34"/>
      <c r="C19" s="33"/>
      <c r="J19" s="77"/>
      <c r="T19" s="77"/>
    </row>
    <row r="20" spans="1:22" x14ac:dyDescent="0.25">
      <c r="J20" s="77"/>
      <c r="T20" s="77"/>
    </row>
    <row r="21" spans="1:22" x14ac:dyDescent="0.25">
      <c r="J21" s="77"/>
      <c r="T21" s="77"/>
    </row>
    <row r="22" spans="1:22" x14ac:dyDescent="0.25">
      <c r="J22" s="77"/>
      <c r="T22" s="77"/>
    </row>
    <row r="23" spans="1:22" x14ac:dyDescent="0.25">
      <c r="J23" s="77"/>
      <c r="T23" s="77"/>
    </row>
    <row r="24" spans="1:22" x14ac:dyDescent="0.25">
      <c r="J24" s="77"/>
      <c r="T24" s="77"/>
    </row>
    <row r="25" spans="1:22" x14ac:dyDescent="0.25">
      <c r="J25" s="77"/>
      <c r="T25" s="77"/>
    </row>
    <row r="26" spans="1:22" x14ac:dyDescent="0.25">
      <c r="J26" s="77"/>
      <c r="T26" s="77"/>
    </row>
    <row r="27" spans="1:22" x14ac:dyDescent="0.25">
      <c r="J27" s="77"/>
      <c r="T27" s="77"/>
    </row>
    <row r="28" spans="1:22" x14ac:dyDescent="0.25">
      <c r="J28" s="77"/>
      <c r="T28" s="77"/>
    </row>
    <row r="29" spans="1:22" x14ac:dyDescent="0.25">
      <c r="J29" s="77"/>
      <c r="T29" s="77"/>
    </row>
    <row r="30" spans="1:22" x14ac:dyDescent="0.25">
      <c r="J30" s="77"/>
      <c r="T30" s="77"/>
    </row>
    <row r="31" spans="1:22" x14ac:dyDescent="0.25">
      <c r="J31" s="77"/>
      <c r="T31" s="77"/>
    </row>
    <row r="32" spans="1:22" x14ac:dyDescent="0.25">
      <c r="J32" s="77"/>
      <c r="T32" s="77"/>
    </row>
    <row r="33" spans="10:20" x14ac:dyDescent="0.25">
      <c r="J33" s="77"/>
      <c r="T33" s="77"/>
    </row>
    <row r="34" spans="10:20" x14ac:dyDescent="0.25">
      <c r="J34" s="77"/>
      <c r="T34" s="77"/>
    </row>
    <row r="35" spans="10:20" x14ac:dyDescent="0.25">
      <c r="J35" s="77"/>
      <c r="T35" s="77"/>
    </row>
    <row r="36" spans="10:20" x14ac:dyDescent="0.25">
      <c r="J36" s="77"/>
      <c r="T36" s="77"/>
    </row>
    <row r="37" spans="10:20" x14ac:dyDescent="0.25">
      <c r="J37" s="77"/>
      <c r="T37" s="77"/>
    </row>
    <row r="38" spans="10:20" x14ac:dyDescent="0.25">
      <c r="J38" s="77"/>
      <c r="T38" s="77"/>
    </row>
  </sheetData>
  <mergeCells count="2">
    <mergeCell ref="F17:H17"/>
    <mergeCell ref="O13:R13"/>
  </mergeCells>
  <phoneticPr fontId="2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I24"/>
  <sheetViews>
    <sheetView showGridLines="0" zoomScaleNormal="100" workbookViewId="0">
      <selection activeCell="P21" sqref="P21"/>
    </sheetView>
  </sheetViews>
  <sheetFormatPr defaultRowHeight="15" x14ac:dyDescent="0.25"/>
  <cols>
    <col min="1" max="1" width="4.5703125" customWidth="1"/>
    <col min="2" max="2" width="32" customWidth="1"/>
    <col min="3" max="3" width="16.140625" customWidth="1"/>
    <col min="4" max="4" width="4.5703125" customWidth="1"/>
    <col min="5" max="5" width="3" customWidth="1"/>
    <col min="6" max="6" width="4.5703125" customWidth="1"/>
    <col min="7" max="7" width="37.7109375" customWidth="1"/>
    <col min="8" max="8" width="14.7109375" style="100" customWidth="1"/>
    <col min="9" max="9" width="44.28515625" customWidth="1"/>
  </cols>
  <sheetData>
    <row r="1" spans="1:9" ht="15.75" x14ac:dyDescent="0.25">
      <c r="A1" s="1"/>
      <c r="B1" s="1"/>
      <c r="C1" s="1"/>
      <c r="D1" s="1"/>
      <c r="E1" s="1"/>
      <c r="F1" s="1"/>
      <c r="G1" s="1"/>
      <c r="H1" s="94"/>
      <c r="I1" s="1"/>
    </row>
    <row r="2" spans="1:9" ht="18.600000000000001" customHeight="1" x14ac:dyDescent="0.3">
      <c r="A2" s="1"/>
      <c r="B2" s="83" t="s">
        <v>1</v>
      </c>
      <c r="C2" s="84"/>
      <c r="D2" s="3"/>
      <c r="E2" s="36"/>
      <c r="F2" s="3"/>
      <c r="G2" s="85" t="s">
        <v>2</v>
      </c>
      <c r="H2" s="94"/>
      <c r="I2" s="1"/>
    </row>
    <row r="3" spans="1:9" s="17" customFormat="1" ht="40.5" customHeight="1" x14ac:dyDescent="0.35">
      <c r="A3" s="43"/>
      <c r="B3" s="43"/>
      <c r="C3" s="43"/>
      <c r="D3" s="43"/>
      <c r="E3" s="80"/>
      <c r="F3" s="43"/>
      <c r="G3" s="29" t="s">
        <v>3</v>
      </c>
      <c r="H3" s="95"/>
      <c r="I3" s="43"/>
    </row>
    <row r="4" spans="1:9" s="17" customFormat="1" ht="40.5" customHeight="1" x14ac:dyDescent="0.35">
      <c r="A4" s="43"/>
      <c r="B4" s="45" t="s">
        <v>41</v>
      </c>
      <c r="C4" s="74" t="s">
        <v>79</v>
      </c>
      <c r="D4" s="46"/>
      <c r="E4" s="81"/>
      <c r="F4" s="46"/>
      <c r="G4" s="47" t="s">
        <v>81</v>
      </c>
      <c r="H4" s="90" t="s">
        <v>79</v>
      </c>
      <c r="I4" s="49" t="s">
        <v>50</v>
      </c>
    </row>
    <row r="5" spans="1:9" s="17" customFormat="1" ht="24.75" customHeight="1" x14ac:dyDescent="0.35">
      <c r="A5" s="43"/>
      <c r="B5" s="50"/>
      <c r="C5" s="75"/>
      <c r="D5" s="46"/>
      <c r="E5" s="81"/>
      <c r="F5" s="46"/>
      <c r="G5" s="47" t="s">
        <v>82</v>
      </c>
      <c r="H5" s="91" t="s">
        <v>79</v>
      </c>
      <c r="I5" s="51" t="s">
        <v>29</v>
      </c>
    </row>
    <row r="6" spans="1:9" s="17" customFormat="1" ht="24.75" customHeight="1" x14ac:dyDescent="0.35">
      <c r="A6" s="43"/>
      <c r="B6" s="44" t="s">
        <v>42</v>
      </c>
      <c r="C6" s="76" t="s">
        <v>79</v>
      </c>
      <c r="D6" s="46"/>
      <c r="E6" s="81"/>
      <c r="F6" s="46"/>
      <c r="G6" s="47" t="s">
        <v>83</v>
      </c>
      <c r="H6" s="92" t="s">
        <v>79</v>
      </c>
      <c r="I6" s="51" t="s">
        <v>33</v>
      </c>
    </row>
    <row r="7" spans="1:9" s="17" customFormat="1" ht="40.5" customHeight="1" x14ac:dyDescent="0.35">
      <c r="A7" s="43"/>
      <c r="B7" s="46"/>
      <c r="C7" s="46"/>
      <c r="D7" s="46"/>
      <c r="E7" s="81"/>
      <c r="F7" s="46"/>
      <c r="G7" s="46"/>
      <c r="H7" s="96"/>
      <c r="I7" s="46"/>
    </row>
    <row r="8" spans="1:9" s="17" customFormat="1" ht="40.5" customHeight="1" x14ac:dyDescent="0.35">
      <c r="A8" s="43"/>
      <c r="B8" s="46"/>
      <c r="C8" s="46"/>
      <c r="D8" s="46"/>
      <c r="E8" s="81"/>
      <c r="F8" s="46"/>
      <c r="G8" s="29" t="s">
        <v>7</v>
      </c>
      <c r="H8" s="97"/>
    </row>
    <row r="9" spans="1:9" s="17" customFormat="1" ht="33" customHeight="1" x14ac:dyDescent="0.35">
      <c r="A9" s="43"/>
      <c r="B9" s="46"/>
      <c r="C9" s="46"/>
      <c r="D9" s="46"/>
      <c r="E9" s="81"/>
      <c r="F9" s="46"/>
      <c r="G9" s="52" t="s">
        <v>43</v>
      </c>
      <c r="H9" s="93" t="s">
        <v>79</v>
      </c>
      <c r="I9" s="46"/>
    </row>
    <row r="10" spans="1:9" s="17" customFormat="1" ht="40.5" customHeight="1" x14ac:dyDescent="0.35">
      <c r="A10" s="43"/>
      <c r="B10" s="46"/>
      <c r="C10" s="46"/>
      <c r="D10" s="46"/>
      <c r="E10" s="81"/>
      <c r="F10" s="46"/>
      <c r="G10" s="46"/>
      <c r="H10" s="96"/>
      <c r="I10" s="46"/>
    </row>
    <row r="11" spans="1:9" s="17" customFormat="1" ht="24.75" customHeight="1" x14ac:dyDescent="0.35">
      <c r="A11" s="43"/>
      <c r="B11" s="46"/>
      <c r="C11" s="46"/>
      <c r="D11" s="46"/>
      <c r="E11" s="81"/>
      <c r="F11" s="46"/>
      <c r="G11" s="29" t="s">
        <v>8</v>
      </c>
      <c r="H11" s="97"/>
      <c r="I11" s="46"/>
    </row>
    <row r="12" spans="1:9" s="17" customFormat="1" ht="34.5" customHeight="1" x14ac:dyDescent="0.35">
      <c r="A12" s="43"/>
      <c r="B12" s="29"/>
      <c r="C12" s="29"/>
      <c r="D12" s="46"/>
      <c r="E12" s="81"/>
      <c r="F12" s="46"/>
      <c r="G12" s="53" t="s">
        <v>44</v>
      </c>
      <c r="H12" s="98">
        <v>0.35</v>
      </c>
      <c r="I12" s="46"/>
    </row>
    <row r="13" spans="1:9" s="17" customFormat="1" ht="34.5" customHeight="1" x14ac:dyDescent="0.35">
      <c r="A13" s="43"/>
      <c r="B13" s="46"/>
      <c r="C13" s="46"/>
      <c r="D13" s="46"/>
      <c r="E13" s="81"/>
      <c r="F13" s="46"/>
      <c r="G13" s="53" t="s">
        <v>45</v>
      </c>
      <c r="H13" s="98">
        <v>0.65</v>
      </c>
      <c r="I13" s="46"/>
    </row>
    <row r="14" spans="1:9" s="17" customFormat="1" ht="40.5" customHeight="1" x14ac:dyDescent="0.35">
      <c r="A14" s="43"/>
      <c r="B14" s="46"/>
      <c r="C14" s="46"/>
      <c r="D14" s="46"/>
      <c r="E14" s="81"/>
      <c r="F14" s="46"/>
      <c r="G14" s="29" t="s">
        <v>34</v>
      </c>
      <c r="H14" s="99"/>
      <c r="I14" s="46"/>
    </row>
    <row r="15" spans="1:9" s="17" customFormat="1" ht="40.5" customHeight="1" x14ac:dyDescent="0.35">
      <c r="B15" s="29"/>
      <c r="C15" s="29"/>
      <c r="D15" s="29"/>
      <c r="E15" s="81"/>
      <c r="F15" s="29"/>
      <c r="G15" s="110" t="s">
        <v>35</v>
      </c>
      <c r="H15" s="110"/>
      <c r="I15" s="110"/>
    </row>
    <row r="16" spans="1:9" s="17" customFormat="1" ht="40.5" customHeight="1" x14ac:dyDescent="0.35">
      <c r="B16" s="29"/>
      <c r="C16" s="29"/>
      <c r="D16" s="29"/>
      <c r="E16" s="81"/>
      <c r="F16" s="29"/>
      <c r="G16" s="110"/>
      <c r="H16" s="110"/>
      <c r="I16" s="110"/>
    </row>
    <row r="17" spans="5:9" s="17" customFormat="1" ht="40.5" customHeight="1" x14ac:dyDescent="0.35">
      <c r="E17" s="80"/>
      <c r="H17" s="95"/>
    </row>
    <row r="18" spans="5:9" s="17" customFormat="1" ht="40.5" customHeight="1" x14ac:dyDescent="0.35">
      <c r="E18" s="80"/>
      <c r="H18" s="95"/>
    </row>
    <row r="19" spans="5:9" s="17" customFormat="1" ht="40.5" customHeight="1" x14ac:dyDescent="0.35">
      <c r="E19" s="80"/>
      <c r="H19" s="95"/>
      <c r="I19" s="43"/>
    </row>
    <row r="20" spans="5:9" ht="15.75" x14ac:dyDescent="0.25">
      <c r="E20" s="82"/>
      <c r="I20" s="1"/>
    </row>
    <row r="21" spans="5:9" ht="14.65" customHeight="1" x14ac:dyDescent="0.25">
      <c r="E21" s="82"/>
    </row>
    <row r="22" spans="5:9" ht="14.65" customHeight="1" x14ac:dyDescent="0.25">
      <c r="E22" s="82"/>
    </row>
    <row r="23" spans="5:9" ht="15.75" x14ac:dyDescent="0.25">
      <c r="E23" s="82"/>
    </row>
    <row r="24" spans="5:9" ht="15.75" x14ac:dyDescent="0.25">
      <c r="E24" s="82"/>
    </row>
  </sheetData>
  <scenarios current="2" show="2" sqref="C6">
    <scenario name="Best case" locked="1" count="1" user="David Stewart" comment="_x000a_">
      <inputCells r="H5" val="80" numFmtId="165"/>
    </scenario>
    <scenario name="Base case" locked="1" count="1" user="David Stewart" comment="_x000a_Modified by David Stewart on 1/04/2020">
      <inputCells r="H5" val="90" numFmtId="165"/>
    </scenario>
    <scenario name="Worst case" locked="1" count="1" user="David Stewart" comment="_x000a_">
      <inputCells r="H5" val="100" numFmtId="165"/>
    </scenario>
  </scenarios>
  <mergeCells count="1">
    <mergeCell ref="G15:I1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1. Instructions</vt:lpstr>
      <vt:lpstr>2.Manager Page</vt:lpstr>
      <vt:lpstr>3.Conceptual Model</vt:lpstr>
      <vt:lpstr>4. Vlooup function</vt:lpstr>
      <vt:lpstr>5.Distributions</vt:lpstr>
      <vt:lpstr>6.Model</vt:lpstr>
      <vt:lpstr>Contribution_margin_per_unit</vt:lpstr>
      <vt:lpstr>Cost_of_parts_per_unit</vt:lpstr>
      <vt:lpstr>Demand</vt:lpstr>
      <vt:lpstr>Direct_labour_cost_per_unit</vt:lpstr>
      <vt:lpstr>First_year_profit</vt:lpstr>
      <vt:lpstr>Selling_price_per_unit</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Stewart</dc:creator>
  <cp:lastModifiedBy>Annista Wijayanayake</cp:lastModifiedBy>
  <dcterms:created xsi:type="dcterms:W3CDTF">2020-03-30T06:11:12Z</dcterms:created>
  <dcterms:modified xsi:type="dcterms:W3CDTF">2025-04-25T12:23:52Z</dcterms:modified>
</cp:coreProperties>
</file>