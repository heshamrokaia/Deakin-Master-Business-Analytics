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deakin365-my.sharepoint.com/personal/annista_wijayanayake_deakin_edu_au/Documents/Documents/0.00  2025-T1/MIS775/MIS775-2025-T1/Assessments and unit guide/Assignment 1/"/>
    </mc:Choice>
  </mc:AlternateContent>
  <xr:revisionPtr revIDLastSave="679" documentId="8_{2CFE31A9-FAE6-40BD-A0A6-527C8D6615BB}" xr6:coauthVersionLast="47" xr6:coauthVersionMax="47" xr10:uidLastSave="{E45E1CA3-8CF7-4FF3-8832-43BA66876661}"/>
  <bookViews>
    <workbookView xWindow="1428" yWindow="1428" windowWidth="31464" windowHeight="13632" activeTab="4" xr2:uid="{00000000-000D-0000-FFFF-FFFF00000000}"/>
  </bookViews>
  <sheets>
    <sheet name="1.a Compute rate of return" sheetId="17" r:id="rId1"/>
    <sheet name="1.b Sample  (Return and Risk)" sheetId="1" r:id="rId2"/>
    <sheet name="2.a. LP Modelling " sheetId="11" r:id="rId3"/>
    <sheet name="2.b LP Sensitivity Report 1" sheetId="12" r:id="rId4"/>
    <sheet name="3.a ILP modelling" sheetId="19" r:id="rId5"/>
    <sheet name="Summary Sheet" sheetId="20" r:id="rId6"/>
  </sheets>
  <definedNames>
    <definedName name="_xlnm._FilterDatabase" localSheetId="2" hidden="1">'2.a. LP Modelling '!#REF!</definedName>
    <definedName name="solver_adj" localSheetId="2" hidden="1">'2.a. LP Modelling '!$D$7:$K$7</definedName>
    <definedName name="solver_cvg" localSheetId="2" hidden="1">0.0001</definedName>
    <definedName name="solver_drv" localSheetId="2" hidden="1">1</definedName>
    <definedName name="solver_eng" localSheetId="2" hidden="1">2</definedName>
    <definedName name="solver_est" localSheetId="2" hidden="1">1</definedName>
    <definedName name="solver_itr" localSheetId="2" hidden="1">2147483647</definedName>
    <definedName name="solver_lhs1" localSheetId="2" hidden="1">'2.a. LP Modelling '!$L$18</definedName>
    <definedName name="solver_lhs2" localSheetId="2" hidden="1">'2.a. LP Modelling '!$L$19</definedName>
    <definedName name="solver_lhs3" localSheetId="2" hidden="1">'2.a. LP Modelling '!$L$20:$L$20</definedName>
    <definedName name="solver_lhs4" localSheetId="2" hidden="1">'2.a. LP Modelling '!$L$21</definedName>
    <definedName name="solver_lhs5" localSheetId="2" hidden="1">'2.a. LP Modelling '!#REF!</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3</definedName>
    <definedName name="solver_nwt" localSheetId="2" hidden="1">1</definedName>
    <definedName name="solver_opt" localSheetId="2" hidden="1">'2.a. LP Modelling '!#REF!</definedName>
    <definedName name="solver_pre" localSheetId="2" hidden="1">0.000001</definedName>
    <definedName name="solver_rbv" localSheetId="2" hidden="1">1</definedName>
    <definedName name="solver_rel1" localSheetId="2" hidden="1">2</definedName>
    <definedName name="solver_rel2" localSheetId="2" hidden="1">1</definedName>
    <definedName name="solver_rel3" localSheetId="2" hidden="1">3</definedName>
    <definedName name="solver_rel4" localSheetId="2" hidden="1">2</definedName>
    <definedName name="solver_rel5" localSheetId="2" hidden="1">3</definedName>
    <definedName name="solver_rhs1" localSheetId="2" hidden="1">'2.a. LP Modelling '!$N$18</definedName>
    <definedName name="solver_rhs2" localSheetId="2" hidden="1">'2.a. LP Modelling '!$N$19</definedName>
    <definedName name="solver_rhs3" localSheetId="2" hidden="1">'2.a. LP Modelling '!$N$20:$N$20</definedName>
    <definedName name="solver_rhs4" localSheetId="2" hidden="1">'2.a. LP Modelling '!$N$21</definedName>
    <definedName name="solver_rhs5" localSheetId="2" hidden="1">'2.a. LP Modelling '!#REF!</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1</definedName>
    <definedName name="solver_val" localSheetId="2" hidden="1">0</definedName>
    <definedName name="solver_ver" localSheetId="2"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1" l="1"/>
  <c r="E57" i="1"/>
  <c r="R5" i="17" a="1"/>
  <c r="Z5" i="17" a="1"/>
  <c r="V5" i="17" a="1"/>
  <c r="B5" i="17" a="1"/>
  <c r="N5" i="17" a="1"/>
  <c r="F5" i="17" a="1"/>
  <c r="D7" i="17" l="1"/>
  <c r="C8" i="1" s="1"/>
  <c r="B5" i="17"/>
  <c r="F5" i="17"/>
  <c r="V5" i="17"/>
  <c r="Z5" i="17"/>
  <c r="R5" i="17"/>
  <c r="N5" i="17"/>
  <c r="D21" i="17"/>
  <c r="C22" i="1" s="1"/>
  <c r="D35" i="17"/>
  <c r="C36" i="1" s="1"/>
  <c r="D49" i="17"/>
  <c r="C50" i="1" s="1"/>
  <c r="D22" i="17"/>
  <c r="C23" i="1" s="1"/>
  <c r="D36" i="17"/>
  <c r="C37" i="1" s="1"/>
  <c r="D50" i="17"/>
  <c r="C51" i="1" s="1"/>
  <c r="D23" i="17"/>
  <c r="C24" i="1" s="1"/>
  <c r="D37" i="17"/>
  <c r="C38" i="1" s="1"/>
  <c r="D51" i="17"/>
  <c r="C52" i="1" s="1"/>
  <c r="D10" i="17"/>
  <c r="C11" i="1" s="1"/>
  <c r="D24" i="17"/>
  <c r="C25" i="1" s="1"/>
  <c r="D38" i="17"/>
  <c r="C39" i="1" s="1"/>
  <c r="D52" i="17"/>
  <c r="C53" i="1" s="1"/>
  <c r="D25" i="17"/>
  <c r="C26" i="1" s="1"/>
  <c r="D39" i="17"/>
  <c r="C40" i="1" s="1"/>
  <c r="D53" i="17"/>
  <c r="C54" i="1" s="1"/>
  <c r="D26" i="17"/>
  <c r="C27" i="1" s="1"/>
  <c r="D40" i="17"/>
  <c r="C41" i="1" s="1"/>
  <c r="D54" i="17"/>
  <c r="C55" i="1" s="1"/>
  <c r="D27" i="17"/>
  <c r="C28" i="1" s="1"/>
  <c r="D41" i="17"/>
  <c r="C42" i="1" s="1"/>
  <c r="D28" i="17"/>
  <c r="C29" i="1" s="1"/>
  <c r="D42" i="17"/>
  <c r="C43" i="1" s="1"/>
  <c r="D15" i="17"/>
  <c r="C16" i="1" s="1"/>
  <c r="D29" i="17"/>
  <c r="C30" i="1" s="1"/>
  <c r="D43" i="17"/>
  <c r="C44" i="1" s="1"/>
  <c r="D16" i="17"/>
  <c r="C17" i="1" s="1"/>
  <c r="D30" i="17"/>
  <c r="C31" i="1" s="1"/>
  <c r="D17" i="17"/>
  <c r="C18" i="1" s="1"/>
  <c r="D31" i="17"/>
  <c r="C32" i="1" s="1"/>
  <c r="D45" i="17"/>
  <c r="C46" i="1" s="1"/>
  <c r="D18" i="17"/>
  <c r="C19" i="1" s="1"/>
  <c r="D19" i="17"/>
  <c r="C20" i="1" s="1"/>
  <c r="D47" i="17"/>
  <c r="C48" i="1" s="1"/>
  <c r="D34" i="17"/>
  <c r="C35" i="1" s="1"/>
  <c r="D48" i="17"/>
  <c r="C49" i="1" s="1"/>
  <c r="D8" i="17"/>
  <c r="C9" i="1" s="1"/>
  <c r="D9" i="17"/>
  <c r="C10" i="1" s="1"/>
  <c r="D44" i="17"/>
  <c r="C45" i="1" s="1"/>
  <c r="D32" i="17"/>
  <c r="C33" i="1" s="1"/>
  <c r="D33" i="17"/>
  <c r="C34" i="1" s="1"/>
  <c r="D20" i="17"/>
  <c r="C21" i="1" s="1"/>
  <c r="D46" i="17"/>
  <c r="C47" i="1" s="1"/>
  <c r="D11" i="17"/>
  <c r="C12" i="1" s="1"/>
  <c r="D12" i="17"/>
  <c r="C13" i="1" s="1"/>
  <c r="D13" i="17"/>
  <c r="C14" i="1" s="1"/>
  <c r="D14" i="17"/>
  <c r="C15" i="1" s="1"/>
  <c r="AD5" i="17" a="1"/>
  <c r="C56" i="1" l="1"/>
  <c r="C57" i="1"/>
  <c r="AD5" i="17"/>
  <c r="L55" i="17"/>
  <c r="D55"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<sst xmlns="http://schemas.openxmlformats.org/spreadsheetml/2006/main" count="365" uniqueCount="110">
  <si>
    <t>Date</t>
  </si>
  <si>
    <t>Symbol</t>
  </si>
  <si>
    <t>Company</t>
  </si>
  <si>
    <t>Category</t>
  </si>
  <si>
    <t>Risk</t>
  </si>
  <si>
    <t>Average 4 year return</t>
  </si>
  <si>
    <t>C3</t>
  </si>
  <si>
    <t>C4</t>
  </si>
  <si>
    <t>C2</t>
  </si>
  <si>
    <t>C1</t>
  </si>
  <si>
    <t>Healthcare</t>
  </si>
  <si>
    <t>Technology</t>
  </si>
  <si>
    <t>R1</t>
  </si>
  <si>
    <t>R2</t>
  </si>
  <si>
    <t>R3</t>
  </si>
  <si>
    <t>&lt;=</t>
  </si>
  <si>
    <t>Stnd Deviation of 4 years</t>
  </si>
  <si>
    <t>DECISION VARIABLES</t>
  </si>
  <si>
    <t>OBJECTIVE FUNCTION</t>
  </si>
  <si>
    <t>CONSTRAINTS</t>
  </si>
  <si>
    <t>Function</t>
  </si>
  <si>
    <t>Financial Services</t>
  </si>
  <si>
    <t>monthly rate of return</t>
  </si>
  <si>
    <t>TFC-symbal of the company- get it from Yahoo finance while looking for th category</t>
  </si>
  <si>
    <t>01-01-2021-starting month -given in UA format (MM/DD/YYYY)</t>
  </si>
  <si>
    <t>2 -frequency for monthly data (interval:0 daily, 1 weekly, 2 monthly)</t>
  </si>
  <si>
    <t>0-date</t>
  </si>
  <si>
    <t>1 -show the  header</t>
  </si>
  <si>
    <t>Communication services</t>
  </si>
  <si>
    <t>std deviation</t>
  </si>
  <si>
    <t>?? R#</t>
  </si>
  <si>
    <t>min</t>
  </si>
  <si>
    <t>max</t>
  </si>
  <si>
    <r>
      <t xml:space="preserve">01-01-2025 -ending date -(MM-DD-YYYY) </t>
    </r>
    <r>
      <rPr>
        <b/>
        <sz val="11"/>
        <color rgb="FFFF0000"/>
        <rFont val="Calibri"/>
        <family val="2"/>
        <scheme val="minor"/>
      </rPr>
      <t>49</t>
    </r>
    <r>
      <rPr>
        <b/>
        <sz val="11"/>
        <color theme="1"/>
        <rFont val="Calibri"/>
        <family val="2"/>
        <scheme val="minor"/>
      </rPr>
      <t xml:space="preserve"> months</t>
    </r>
  </si>
  <si>
    <t>Calculate the monthly rate of return shown in D column</t>
  </si>
  <si>
    <t>&gt;=  ,   =,  &lt;=</t>
  </si>
  <si>
    <t>choose correct symbol</t>
  </si>
  <si>
    <t>write here the condition or constraint requirments in word</t>
  </si>
  <si>
    <t>Category code for chosen assests</t>
  </si>
  <si>
    <t>?</t>
  </si>
  <si>
    <t>Risk Category  (R1 / R2 /R3)</t>
  </si>
  <si>
    <t>1-closing price</t>
  </si>
  <si>
    <t>.</t>
  </si>
  <si>
    <t>high-risk assets shouldn’t exceed 15% of the portfolio;</t>
  </si>
  <si>
    <t>Total</t>
  </si>
  <si>
    <t>at least two investments</t>
  </si>
  <si>
    <t xml:space="preserve">Category code </t>
  </si>
  <si>
    <t>Category sub code for chosen assests</t>
  </si>
  <si>
    <t>optimal Value</t>
  </si>
  <si>
    <t xml:space="preserve">Stnd Deviation </t>
  </si>
  <si>
    <t>Ave. Annual Return Rate (48 mths)</t>
  </si>
  <si>
    <t>investment</t>
  </si>
  <si>
    <t>monthly retun of your chosen company in health care</t>
  </si>
  <si>
    <t>your chosen company in Technology</t>
  </si>
  <si>
    <t>your chosen company in Communication</t>
  </si>
  <si>
    <t>your chosen company in Financial services</t>
  </si>
  <si>
    <t xml:space="preserve"> S11</t>
  </si>
  <si>
    <t>S12</t>
  </si>
  <si>
    <t>S21</t>
  </si>
  <si>
    <t>S22</t>
  </si>
  <si>
    <t>S31</t>
  </si>
  <si>
    <t>S32</t>
  </si>
  <si>
    <t>S41</t>
  </si>
  <si>
    <t>S42</t>
  </si>
  <si>
    <t>S1</t>
  </si>
  <si>
    <t>S2</t>
  </si>
  <si>
    <t>S3</t>
  </si>
  <si>
    <t>S4</t>
  </si>
  <si>
    <t>Health Care S1</t>
  </si>
  <si>
    <t>Technology S2</t>
  </si>
  <si>
    <t>Communi. Services         S3</t>
  </si>
  <si>
    <t>Financial. Ser   S4</t>
  </si>
  <si>
    <t>Sector</t>
  </si>
  <si>
    <t xml:space="preserve">Sector code </t>
  </si>
  <si>
    <t xml:space="preserve"> sub sector code for chosen assests</t>
  </si>
  <si>
    <t>Table 1.b.1</t>
  </si>
  <si>
    <t>Table 1.b.2</t>
  </si>
  <si>
    <t>Table 1.b.3</t>
  </si>
  <si>
    <t>Complete all three tables</t>
  </si>
  <si>
    <t>Using the closing stock prices of 49 monthly data calculate the monthly rate of returns for 48 months commencing from 1st of January 2021 to 1st of January 2025</t>
  </si>
  <si>
    <t>Table 1.a.1</t>
  </si>
  <si>
    <t>Complete the following Table</t>
  </si>
  <si>
    <t>ILP model</t>
  </si>
  <si>
    <t>monthly return of 1.Pro Medicus Limited (ASX.PME)</t>
  </si>
  <si>
    <t>(ASX.PME)</t>
  </si>
  <si>
    <t>Code</t>
  </si>
  <si>
    <t>monthly return of Xero Limited (ASX:XRO)</t>
  </si>
  <si>
    <t>monthly retun of Telstra Group Limited (ASX:TLS</t>
  </si>
  <si>
    <t>monthly return of Commonwealth Bank (ASX:CBA)</t>
  </si>
  <si>
    <t>(ASX:TLS)</t>
  </si>
  <si>
    <t>(ASX:CBA)</t>
  </si>
  <si>
    <t xml:space="preserve"> (ASX:XRO)</t>
  </si>
  <si>
    <t>Monthly rate of return of Pro Medicus Limited</t>
  </si>
  <si>
    <t xml:space="preserve"> Monthly rate of return of Xero Limited</t>
  </si>
  <si>
    <t xml:space="preserve">Monthly rate of return of Telstra Group Limited </t>
  </si>
  <si>
    <t xml:space="preserve">Monthly rate of return of Commonwealth Bank </t>
  </si>
  <si>
    <t>STOCKHISTORY("XASX:PME","01-01-2021","01-01-2025",2,1,0,1)</t>
  </si>
  <si>
    <t>(ASX:PME)</t>
  </si>
  <si>
    <t>Pro Medicus Limited</t>
  </si>
  <si>
    <t>(ASX:XRO)</t>
  </si>
  <si>
    <t>Xero Limited</t>
  </si>
  <si>
    <t xml:space="preserve"> (ASX:TLS)</t>
  </si>
  <si>
    <t xml:space="preserve"> Telstra Group Limited</t>
  </si>
  <si>
    <t>Commonwealth Bank</t>
  </si>
  <si>
    <t>Your choice of investments</t>
  </si>
  <si>
    <t>Proportion of investment</t>
  </si>
  <si>
    <t>column F,J,N…... should be completed by students</t>
  </si>
  <si>
    <t>LP Model summary sheet</t>
  </si>
  <si>
    <t>ILP Model summary sheet</t>
  </si>
  <si>
    <t>LP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</si>
</sst>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00_-;\-* #,##0.0000_-;_-* &quot;-&quot;??_-;_-@_-"/>
    <numFmt numFmtId="165" formatCode="#,##0_ ;\-#,##0\ "/>
    <numFmt numFmtId="166" formatCode="#,##0.0_ ;\-#,##0.0\ "/>
  </numFmts>
  <fonts count="31" x14ac:knownFonts="1">
    <font>
      <sz val="11"/>
      <color theme="1"/>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b/>
      <sz val="12"/>
      <color theme="1"/>
      <name val="Calibri"/>
      <family val="2"/>
      <scheme val="minor"/>
    </font>
    <font>
      <sz val="12"/>
      <color theme="1"/>
      <name val="Calibri"/>
      <family val="2"/>
      <scheme val="minor"/>
    </font>
    <font>
      <i/>
      <sz val="11"/>
      <color theme="8" tint="-0.499984740745262"/>
      <name val="Calibri"/>
      <family val="2"/>
      <scheme val="minor"/>
    </font>
    <font>
      <sz val="8"/>
      <name val="Calibri"/>
      <family val="2"/>
      <scheme val="minor"/>
    </font>
    <font>
      <sz val="12"/>
      <name val="Calibri"/>
      <family val="2"/>
      <scheme val="minor"/>
    </font>
    <font>
      <b/>
      <sz val="12"/>
      <name val="Calibri"/>
      <family val="2"/>
      <scheme val="minor"/>
    </font>
    <font>
      <b/>
      <sz val="11"/>
      <name val="Calibri"/>
      <family val="2"/>
      <scheme val="minor"/>
    </font>
    <font>
      <b/>
      <sz val="11"/>
      <color rgb="FF0070C0"/>
      <name val="Calibri"/>
      <family val="2"/>
      <scheme val="minor"/>
    </font>
    <font>
      <b/>
      <sz val="12"/>
      <color rgb="FF0070C0"/>
      <name val="Calibri"/>
      <family val="2"/>
      <scheme val="minor"/>
    </font>
    <font>
      <b/>
      <sz val="10"/>
      <color theme="1"/>
      <name val="Calibri"/>
      <family val="2"/>
      <scheme val="minor"/>
    </font>
    <font>
      <sz val="12"/>
      <color rgb="FFFF0000"/>
      <name val="Calibri"/>
      <family val="2"/>
      <scheme val="minor"/>
    </font>
    <font>
      <b/>
      <sz val="11"/>
      <color rgb="FFFF0000"/>
      <name val="Calibri"/>
      <family val="2"/>
      <scheme val="minor"/>
    </font>
    <font>
      <sz val="8"/>
      <color rgb="FF232A31"/>
      <name val="Arial"/>
      <family val="2"/>
    </font>
    <font>
      <b/>
      <sz val="10"/>
      <name val="Calibri"/>
      <family val="2"/>
      <scheme val="minor"/>
    </font>
    <font>
      <b/>
      <sz val="11"/>
      <color rgb="FF0033CC"/>
      <name val="Calibri"/>
      <family val="2"/>
      <scheme val="minor"/>
    </font>
    <font>
      <b/>
      <i/>
      <sz val="12"/>
      <color rgb="FF0033CC"/>
      <name val="Calibri"/>
      <family val="2"/>
      <scheme val="minor"/>
    </font>
    <font>
      <sz val="10"/>
      <color theme="1"/>
      <name val="Calibri"/>
      <family val="2"/>
      <scheme val="minor"/>
    </font>
    <font>
      <b/>
      <sz val="16"/>
      <color rgb="FF0033CC"/>
      <name val="Calibri"/>
      <family val="2"/>
      <scheme val="minor"/>
    </font>
    <font>
      <b/>
      <sz val="11"/>
      <color rgb="FF000000"/>
      <name val="Times New Roman"/>
      <family val="1"/>
    </font>
    <font>
      <sz val="11"/>
      <color rgb="FF000000"/>
      <name val="Times New Roman"/>
      <family val="1"/>
    </font>
    <font>
      <sz val="11"/>
      <color rgb="FF000000"/>
      <name val="Calibri"/>
      <family val="2"/>
      <scheme val="minor"/>
    </font>
    <font>
      <b/>
      <sz val="11"/>
      <color rgb="FF7030A0"/>
      <name val="Times New Roman"/>
      <family val="1"/>
    </font>
    <font>
      <b/>
      <sz val="14"/>
      <color rgb="FF0033CC"/>
      <name val="Calibri"/>
      <family val="2"/>
      <scheme val="minor"/>
    </font>
    <font>
      <b/>
      <sz val="11"/>
      <name val="Times New Roman"/>
      <family val="1"/>
    </font>
    <font>
      <b/>
      <sz val="10"/>
      <color rgb="FF0033CC"/>
      <name val="Calibri"/>
      <family val="2"/>
      <scheme val="minor"/>
    </font>
    <font>
      <b/>
      <i/>
      <sz val="12"/>
      <color rgb="FF0033CC"/>
      <name val="Aptos"/>
      <family val="2"/>
    </font>
  </fonts>
  <fills count="14">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0" tint="-0.149998474074526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62">
    <xf numFmtId="0" fontId="0" fillId="0" borderId="0" xfId="0"/>
    <xf numFmtId="0" fontId="0" fillId="0" borderId="0" xfId="0" applyAlignment="1">
      <alignment horizontal="center" vertical="center"/>
    </xf>
    <xf numFmtId="0" fontId="0" fillId="0" borderId="0" xfId="0" applyAlignment="1">
      <alignment horizontal="center"/>
    </xf>
    <xf numFmtId="0" fontId="3" fillId="7" borderId="0" xfId="0" applyFont="1" applyFill="1"/>
    <xf numFmtId="0" fontId="3" fillId="0" borderId="1" xfId="0" applyFont="1" applyBorder="1"/>
    <xf numFmtId="0" fontId="3" fillId="0" borderId="1" xfId="0" applyFont="1" applyBorder="1" applyAlignment="1">
      <alignment horizontal="center"/>
    </xf>
    <xf numFmtId="10" fontId="3" fillId="7" borderId="0" xfId="1" applyNumberFormat="1" applyFont="1" applyFill="1" applyBorder="1"/>
    <xf numFmtId="10" fontId="3" fillId="7" borderId="0" xfId="0" applyNumberFormat="1" applyFont="1" applyFill="1"/>
    <xf numFmtId="0" fontId="7" fillId="0" borderId="1" xfId="0" applyFont="1" applyBorder="1"/>
    <xf numFmtId="0" fontId="2" fillId="0" borderId="0" xfId="0" applyFont="1"/>
    <xf numFmtId="10" fontId="6" fillId="6" borderId="1" xfId="1" applyNumberFormat="1" applyFont="1" applyFill="1" applyBorder="1" applyAlignment="1">
      <alignment horizontal="center"/>
    </xf>
    <xf numFmtId="10" fontId="0" fillId="0" borderId="0" xfId="1" applyNumberFormat="1" applyFont="1" applyAlignment="1">
      <alignment horizontal="center"/>
    </xf>
    <xf numFmtId="0" fontId="0" fillId="8" borderId="0" xfId="0" applyFill="1"/>
    <xf numFmtId="0" fontId="2" fillId="8" borderId="0" xfId="0" applyFont="1" applyFill="1"/>
    <xf numFmtId="10" fontId="0" fillId="4" borderId="1" xfId="1" applyNumberFormat="1" applyFont="1" applyFill="1" applyBorder="1" applyAlignment="1">
      <alignment horizontal="center"/>
    </xf>
    <xf numFmtId="0" fontId="10" fillId="6" borderId="1" xfId="0" applyFont="1" applyFill="1" applyBorder="1"/>
    <xf numFmtId="0" fontId="10" fillId="7" borderId="1" xfId="0" applyFont="1" applyFill="1" applyBorder="1"/>
    <xf numFmtId="0" fontId="5" fillId="6" borderId="1" xfId="0" applyFont="1" applyFill="1" applyBorder="1" applyAlignment="1">
      <alignment vertical="center"/>
    </xf>
    <xf numFmtId="10" fontId="12" fillId="0" borderId="0" xfId="1" applyNumberFormat="1" applyFont="1" applyAlignment="1">
      <alignment horizontal="center"/>
    </xf>
    <xf numFmtId="0" fontId="16" fillId="0" borderId="0" xfId="0" applyFont="1" applyAlignment="1">
      <alignment horizontal="center" vertical="center"/>
    </xf>
    <xf numFmtId="0" fontId="0" fillId="10" borderId="0" xfId="0" applyFill="1" applyAlignment="1">
      <alignment horizontal="center"/>
    </xf>
    <xf numFmtId="0" fontId="0" fillId="10" borderId="0" xfId="0" applyFill="1" applyAlignment="1">
      <alignment horizontal="center" vertical="center"/>
    </xf>
    <xf numFmtId="10" fontId="2" fillId="10" borderId="0" xfId="1" applyNumberFormat="1" applyFont="1" applyFill="1" applyBorder="1" applyAlignment="1">
      <alignment horizontal="center" vertical="center"/>
    </xf>
    <xf numFmtId="0" fontId="3" fillId="7" borderId="1" xfId="0" quotePrefix="1" applyFont="1" applyFill="1" applyBorder="1" applyAlignment="1">
      <alignment horizontal="center"/>
    </xf>
    <xf numFmtId="166" fontId="3" fillId="9" borderId="1" xfId="2" applyNumberFormat="1" applyFont="1" applyFill="1" applyBorder="1" applyAlignment="1">
      <alignment horizontal="center"/>
    </xf>
    <xf numFmtId="0" fontId="17" fillId="0" borderId="0" xfId="0" applyFont="1"/>
    <xf numFmtId="0" fontId="9" fillId="7" borderId="1" xfId="0" applyFont="1" applyFill="1" applyBorder="1"/>
    <xf numFmtId="0" fontId="19" fillId="8" borderId="0" xfId="0" applyFont="1" applyFill="1"/>
    <xf numFmtId="10" fontId="0" fillId="7" borderId="0" xfId="1" applyNumberFormat="1" applyFont="1" applyFill="1" applyAlignment="1">
      <alignment horizont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10" fontId="0" fillId="12" borderId="0" xfId="1" applyNumberFormat="1" applyFont="1" applyFill="1" applyBorder="1" applyAlignment="1">
      <alignment horizontal="center"/>
    </xf>
    <xf numFmtId="10" fontId="12" fillId="12" borderId="0" xfId="1" applyNumberFormat="1" applyFont="1" applyFill="1" applyAlignment="1">
      <alignment horizontal="center"/>
    </xf>
    <xf numFmtId="0" fontId="5" fillId="6" borderId="1" xfId="0" applyFont="1" applyFill="1" applyBorder="1" applyAlignment="1">
      <alignment horizontal="center" wrapText="1"/>
    </xf>
    <xf numFmtId="0" fontId="0" fillId="0" borderId="1" xfId="0" applyBorder="1"/>
    <xf numFmtId="10" fontId="19" fillId="12" borderId="0" xfId="1" applyNumberFormat="1" applyFont="1" applyFill="1" applyBorder="1" applyAlignment="1">
      <alignment horizontal="center"/>
    </xf>
    <xf numFmtId="0" fontId="3" fillId="7" borderId="0" xfId="0" applyFont="1" applyFill="1" applyAlignment="1">
      <alignment horizontal="center"/>
    </xf>
    <xf numFmtId="0" fontId="20" fillId="13" borderId="5" xfId="0" applyFont="1" applyFill="1" applyBorder="1"/>
    <xf numFmtId="0" fontId="16" fillId="0" borderId="1" xfId="0" applyFont="1" applyBorder="1" applyAlignment="1">
      <alignment horizontal="center" vertical="center"/>
    </xf>
    <xf numFmtId="0" fontId="3" fillId="7" borderId="1" xfId="0" applyFont="1" applyFill="1" applyBorder="1"/>
    <xf numFmtId="0" fontId="4" fillId="0" borderId="1" xfId="0" applyFont="1" applyBorder="1"/>
    <xf numFmtId="43" fontId="3" fillId="0" borderId="1" xfId="2" applyFont="1" applyBorder="1"/>
    <xf numFmtId="0" fontId="3" fillId="0" borderId="1" xfId="0" applyFont="1" applyBorder="1" applyAlignment="1">
      <alignment wrapText="1"/>
    </xf>
    <xf numFmtId="10" fontId="3" fillId="7" borderId="1" xfId="1" applyNumberFormat="1" applyFont="1" applyFill="1" applyBorder="1"/>
    <xf numFmtId="10" fontId="3" fillId="7" borderId="1" xfId="0" applyNumberFormat="1" applyFont="1" applyFill="1" applyBorder="1"/>
    <xf numFmtId="0" fontId="19" fillId="0" borderId="0" xfId="0" applyFont="1"/>
    <xf numFmtId="0" fontId="22" fillId="0" borderId="0" xfId="0" applyFont="1"/>
    <xf numFmtId="0" fontId="21" fillId="0" borderId="7" xfId="0" applyFont="1" applyBorder="1" applyAlignment="1">
      <alignment horizontal="left" vertical="center" wrapText="1"/>
    </xf>
    <xf numFmtId="0" fontId="13" fillId="6" borderId="8" xfId="0" applyFont="1" applyFill="1" applyBorder="1" applyAlignment="1">
      <alignment horizontal="center"/>
    </xf>
    <xf numFmtId="0" fontId="13" fillId="6" borderId="2" xfId="0" applyFont="1" applyFill="1" applyBorder="1" applyAlignment="1">
      <alignment horizontal="center"/>
    </xf>
    <xf numFmtId="10" fontId="0" fillId="11" borderId="8" xfId="1" applyNumberFormat="1" applyFont="1" applyFill="1" applyBorder="1" applyAlignment="1">
      <alignment horizontal="center" vertical="center"/>
    </xf>
    <xf numFmtId="10" fontId="0" fillId="11" borderId="2" xfId="1" applyNumberFormat="1" applyFont="1" applyFill="1" applyBorder="1" applyAlignment="1">
      <alignment horizontal="center" vertical="center"/>
    </xf>
    <xf numFmtId="10" fontId="2" fillId="3" borderId="8" xfId="0" applyNumberFormat="1" applyFont="1" applyFill="1" applyBorder="1" applyAlignment="1">
      <alignment horizontal="center" vertical="center"/>
    </xf>
    <xf numFmtId="10" fontId="2" fillId="3" borderId="2" xfId="0" applyNumberFormat="1" applyFont="1" applyFill="1" applyBorder="1" applyAlignment="1">
      <alignment horizontal="center" vertical="center"/>
    </xf>
    <xf numFmtId="10" fontId="2" fillId="4" borderId="9" xfId="1" applyNumberFormat="1" applyFont="1" applyFill="1" applyBorder="1" applyAlignment="1">
      <alignment horizontal="center" vertical="center"/>
    </xf>
    <xf numFmtId="10" fontId="2" fillId="4" borderId="10" xfId="1" applyNumberFormat="1" applyFont="1" applyFill="1" applyBorder="1" applyAlignment="1">
      <alignment horizontal="center" vertical="center"/>
    </xf>
    <xf numFmtId="0" fontId="13" fillId="7" borderId="8" xfId="0" applyFont="1" applyFill="1" applyBorder="1" applyAlignment="1">
      <alignment horizontal="center"/>
    </xf>
    <xf numFmtId="0" fontId="13" fillId="7" borderId="2" xfId="0" applyFont="1" applyFill="1" applyBorder="1" applyAlignment="1">
      <alignment horizontal="center"/>
    </xf>
    <xf numFmtId="10" fontId="0" fillId="11" borderId="8" xfId="1" applyNumberFormat="1" applyFont="1" applyFill="1" applyBorder="1" applyAlignment="1">
      <alignment horizontal="center"/>
    </xf>
    <xf numFmtId="0" fontId="6" fillId="7" borderId="2" xfId="0" applyFont="1" applyFill="1" applyBorder="1"/>
    <xf numFmtId="0" fontId="0" fillId="0" borderId="0" xfId="0" applyAlignment="1">
      <alignment vertical="center" wrapText="1"/>
    </xf>
    <xf numFmtId="0" fontId="23" fillId="0" borderId="12"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6" xfId="0" applyFont="1" applyBorder="1" applyAlignment="1">
      <alignment vertical="center" wrapText="1"/>
    </xf>
    <xf numFmtId="0" fontId="23" fillId="0" borderId="11" xfId="0" applyFont="1" applyBorder="1" applyAlignment="1">
      <alignment horizontal="center" vertical="center" wrapText="1"/>
    </xf>
    <xf numFmtId="0" fontId="24" fillId="0" borderId="14" xfId="0" applyFont="1" applyBorder="1" applyAlignment="1">
      <alignment vertical="center" wrapText="1"/>
    </xf>
    <xf numFmtId="0" fontId="25" fillId="0" borderId="14" xfId="0" applyFont="1" applyBorder="1" applyAlignment="1">
      <alignment vertical="center"/>
    </xf>
    <xf numFmtId="0" fontId="25" fillId="0" borderId="15" xfId="0" applyFont="1" applyBorder="1" applyAlignment="1">
      <alignment vertical="center"/>
    </xf>
    <xf numFmtId="0" fontId="24" fillId="0" borderId="12" xfId="0" applyFont="1" applyBorder="1" applyAlignment="1">
      <alignment vertical="center" wrapText="1"/>
    </xf>
    <xf numFmtId="0" fontId="23" fillId="0" borderId="13" xfId="0" applyFont="1" applyBorder="1" applyAlignment="1">
      <alignment horizontal="center" vertical="center" wrapText="1"/>
    </xf>
    <xf numFmtId="0" fontId="23" fillId="0" borderId="17" xfId="0" applyFont="1" applyBorder="1" applyAlignment="1">
      <alignment vertical="center" wrapText="1"/>
    </xf>
    <xf numFmtId="0" fontId="5" fillId="0" borderId="21" xfId="0" applyFont="1" applyBorder="1" applyAlignment="1">
      <alignment vertical="center" wrapText="1"/>
    </xf>
    <xf numFmtId="0" fontId="5" fillId="0" borderId="0" xfId="0" applyFont="1" applyAlignment="1">
      <alignment vertical="center" wrapText="1"/>
    </xf>
    <xf numFmtId="10" fontId="6" fillId="13" borderId="1" xfId="1" applyNumberFormat="1" applyFont="1" applyFill="1" applyBorder="1" applyAlignment="1">
      <alignment horizontal="center"/>
    </xf>
    <xf numFmtId="10" fontId="6" fillId="0" borderId="1" xfId="1" applyNumberFormat="1" applyFont="1" applyFill="1" applyBorder="1" applyAlignment="1">
      <alignment horizontal="center"/>
    </xf>
    <xf numFmtId="10" fontId="6" fillId="7" borderId="1" xfId="1" applyNumberFormat="1" applyFont="1" applyFill="1" applyBorder="1" applyAlignment="1">
      <alignment horizontal="center"/>
    </xf>
    <xf numFmtId="0" fontId="27" fillId="0" borderId="0" xfId="0" applyFont="1" applyAlignment="1">
      <alignment horizontal="center" vertical="center"/>
    </xf>
    <xf numFmtId="0" fontId="28" fillId="7" borderId="17" xfId="0" applyFont="1" applyFill="1" applyBorder="1" applyAlignment="1">
      <alignment horizontal="center" vertical="center" wrapText="1"/>
    </xf>
    <xf numFmtId="0" fontId="28" fillId="7" borderId="13" xfId="0" applyFont="1" applyFill="1" applyBorder="1" applyAlignment="1">
      <alignment horizontal="center" vertical="center" wrapText="1"/>
    </xf>
    <xf numFmtId="0" fontId="28" fillId="7" borderId="0" xfId="0" applyFont="1" applyFill="1" applyAlignment="1">
      <alignment horizontal="center" vertical="center" wrapText="1"/>
    </xf>
    <xf numFmtId="0" fontId="5" fillId="6" borderId="6" xfId="0" applyFont="1" applyFill="1" applyBorder="1" applyAlignment="1">
      <alignment horizontal="center" vertical="center" wrapText="1"/>
    </xf>
    <xf numFmtId="10" fontId="5" fillId="6" borderId="22" xfId="1" applyNumberFormat="1" applyFont="1" applyFill="1" applyBorder="1" applyAlignment="1">
      <alignment horizontal="center" vertical="center" wrapText="1"/>
    </xf>
    <xf numFmtId="164" fontId="5" fillId="6" borderId="23" xfId="2" applyNumberFormat="1" applyFont="1" applyFill="1" applyBorder="1" applyAlignment="1">
      <alignment horizontal="center" vertical="center" wrapText="1"/>
    </xf>
    <xf numFmtId="164" fontId="5" fillId="6" borderId="6" xfId="2" applyNumberFormat="1" applyFont="1" applyFill="1" applyBorder="1" applyAlignment="1">
      <alignment horizontal="center" vertical="center" wrapText="1"/>
    </xf>
    <xf numFmtId="10" fontId="6" fillId="6" borderId="25" xfId="1" applyNumberFormat="1" applyFont="1" applyFill="1" applyBorder="1" applyAlignment="1">
      <alignment horizontal="center"/>
    </xf>
    <xf numFmtId="0" fontId="15" fillId="6" borderId="25" xfId="0" applyFont="1" applyFill="1" applyBorder="1" applyAlignment="1">
      <alignment horizontal="center"/>
    </xf>
    <xf numFmtId="0" fontId="0" fillId="0" borderId="24" xfId="0" applyBorder="1"/>
    <xf numFmtId="0" fontId="0" fillId="0" borderId="2" xfId="0" applyBorder="1"/>
    <xf numFmtId="10" fontId="6" fillId="6" borderId="26" xfId="1" applyNumberFormat="1" applyFont="1" applyFill="1" applyBorder="1" applyAlignment="1">
      <alignment horizontal="center"/>
    </xf>
    <xf numFmtId="0" fontId="0" fillId="0" borderId="10" xfId="0" applyBorder="1"/>
    <xf numFmtId="0" fontId="26" fillId="13" borderId="1" xfId="0" applyFont="1" applyFill="1" applyBorder="1" applyAlignment="1">
      <alignment horizontal="center" vertical="center" wrapText="1"/>
    </xf>
    <xf numFmtId="0" fontId="15" fillId="6" borderId="1" xfId="0" applyFont="1" applyFill="1" applyBorder="1" applyAlignment="1">
      <alignment horizontal="center"/>
    </xf>
    <xf numFmtId="0" fontId="26" fillId="0" borderId="1" xfId="0" applyFont="1" applyBorder="1" applyAlignment="1">
      <alignment horizontal="center" vertical="center" wrapText="1"/>
    </xf>
    <xf numFmtId="0" fontId="26" fillId="6" borderId="1"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26" fillId="13" borderId="25" xfId="0" applyFont="1" applyFill="1" applyBorder="1" applyAlignment="1">
      <alignment horizontal="center" vertical="center" wrapText="1"/>
    </xf>
    <xf numFmtId="0" fontId="26" fillId="7" borderId="26" xfId="0" applyFont="1" applyFill="1" applyBorder="1" applyAlignment="1">
      <alignment horizontal="center" vertical="center" wrapText="1"/>
    </xf>
    <xf numFmtId="0" fontId="15" fillId="6" borderId="26" xfId="0" applyFont="1" applyFill="1" applyBorder="1" applyAlignment="1">
      <alignment horizontal="center"/>
    </xf>
    <xf numFmtId="0" fontId="5" fillId="6" borderId="25" xfId="0" applyFont="1" applyFill="1" applyBorder="1" applyAlignment="1">
      <alignment horizontal="center" vertical="center" wrapText="1"/>
    </xf>
    <xf numFmtId="10" fontId="5" fillId="6" borderId="25" xfId="1" applyNumberFormat="1" applyFont="1" applyFill="1" applyBorder="1" applyAlignment="1">
      <alignment horizontal="center" vertical="center" wrapText="1"/>
    </xf>
    <xf numFmtId="164" fontId="5" fillId="6" borderId="25" xfId="2" applyNumberFormat="1" applyFont="1" applyFill="1" applyBorder="1" applyAlignment="1">
      <alignment horizontal="center" vertical="center" wrapText="1"/>
    </xf>
    <xf numFmtId="164" fontId="5" fillId="6" borderId="24" xfId="2" applyNumberFormat="1" applyFont="1" applyFill="1" applyBorder="1" applyAlignment="1">
      <alignment horizontal="center" vertical="center" wrapText="1"/>
    </xf>
    <xf numFmtId="0" fontId="27" fillId="0" borderId="0" xfId="0" applyFont="1"/>
    <xf numFmtId="10" fontId="5" fillId="6" borderId="1" xfId="1" applyNumberFormat="1" applyFont="1" applyFill="1" applyBorder="1" applyAlignment="1">
      <alignment horizontal="center" vertical="center" wrapText="1"/>
    </xf>
    <xf numFmtId="164" fontId="5" fillId="6" borderId="1" xfId="2" applyNumberFormat="1" applyFont="1" applyFill="1" applyBorder="1" applyAlignment="1">
      <alignment horizontal="center" vertical="center" wrapText="1"/>
    </xf>
    <xf numFmtId="0" fontId="15" fillId="13" borderId="1" xfId="0" applyFont="1" applyFill="1" applyBorder="1" applyAlignment="1">
      <alignment horizontal="center"/>
    </xf>
    <xf numFmtId="0" fontId="15" fillId="0" borderId="1" xfId="0" applyFont="1" applyBorder="1" applyAlignment="1">
      <alignment horizontal="center"/>
    </xf>
    <xf numFmtId="0" fontId="15" fillId="7" borderId="1" xfId="0" applyFont="1" applyFill="1" applyBorder="1" applyAlignment="1">
      <alignment horizontal="center"/>
    </xf>
    <xf numFmtId="0" fontId="13" fillId="6" borderId="27" xfId="0" applyFont="1" applyFill="1" applyBorder="1" applyAlignment="1">
      <alignment horizontal="center"/>
    </xf>
    <xf numFmtId="0" fontId="13" fillId="6" borderId="4" xfId="0" applyFont="1" applyFill="1" applyBorder="1" applyAlignment="1">
      <alignment horizontal="center"/>
    </xf>
    <xf numFmtId="0" fontId="13" fillId="7" borderId="4" xfId="0" applyFont="1" applyFill="1" applyBorder="1" applyAlignment="1">
      <alignment horizontal="center"/>
    </xf>
    <xf numFmtId="0" fontId="13" fillId="7" borderId="27" xfId="0" applyFont="1" applyFill="1" applyBorder="1" applyAlignment="1">
      <alignment horizontal="center"/>
    </xf>
    <xf numFmtId="0" fontId="6" fillId="7" borderId="4" xfId="0" applyFont="1" applyFill="1" applyBorder="1"/>
    <xf numFmtId="165" fontId="3" fillId="7" borderId="1" xfId="2" applyNumberFormat="1" applyFont="1" applyFill="1" applyBorder="1" applyAlignment="1">
      <alignment horizontal="center" vertical="center"/>
    </xf>
    <xf numFmtId="43" fontId="3" fillId="7" borderId="1" xfId="2" applyFont="1" applyFill="1" applyBorder="1"/>
    <xf numFmtId="0" fontId="26" fillId="13" borderId="11" xfId="0" applyFont="1" applyFill="1" applyBorder="1" applyAlignment="1">
      <alignment horizontal="center" vertical="center" wrapText="1"/>
    </xf>
    <xf numFmtId="0" fontId="26" fillId="13" borderId="16" xfId="0" applyFont="1" applyFill="1" applyBorder="1" applyAlignment="1">
      <alignment horizontal="center" vertical="center" wrapText="1"/>
    </xf>
    <xf numFmtId="0" fontId="26" fillId="0" borderId="16" xfId="0" applyFont="1" applyBorder="1" applyAlignment="1">
      <alignment horizontal="center" vertical="center" wrapText="1"/>
    </xf>
    <xf numFmtId="0" fontId="26" fillId="6" borderId="16" xfId="0" applyFont="1" applyFill="1" applyBorder="1" applyAlignment="1">
      <alignment horizontal="center" vertical="center" wrapText="1"/>
    </xf>
    <xf numFmtId="0" fontId="26" fillId="7" borderId="16" xfId="0" applyFont="1" applyFill="1" applyBorder="1" applyAlignment="1">
      <alignment horizontal="center" vertical="center" wrapText="1"/>
    </xf>
    <xf numFmtId="0" fontId="18" fillId="0" borderId="28" xfId="0" applyFont="1" applyBorder="1" applyAlignment="1">
      <alignment horizontal="center" vertical="center" wrapText="1"/>
    </xf>
    <xf numFmtId="43" fontId="14" fillId="2" borderId="29" xfId="2" applyFont="1" applyFill="1" applyBorder="1" applyAlignment="1">
      <alignment horizontal="center" vertical="center"/>
    </xf>
    <xf numFmtId="43" fontId="14" fillId="2" borderId="29" xfId="2" applyFont="1" applyFill="1" applyBorder="1" applyAlignment="1">
      <alignment horizontal="center" vertical="center" wrapText="1"/>
    </xf>
    <xf numFmtId="0" fontId="14" fillId="7" borderId="28" xfId="0" applyFont="1" applyFill="1" applyBorder="1" applyAlignment="1">
      <alignment horizontal="center" vertical="center" wrapText="1"/>
    </xf>
    <xf numFmtId="43" fontId="4" fillId="2" borderId="29" xfId="2" applyFont="1" applyFill="1" applyBorder="1" applyAlignment="1">
      <alignment horizontal="center"/>
    </xf>
    <xf numFmtId="0" fontId="0" fillId="5" borderId="1" xfId="0" applyFill="1" applyBorder="1" applyAlignment="1">
      <alignment horizontal="center" vertical="center"/>
    </xf>
    <xf numFmtId="0" fontId="0" fillId="7" borderId="1" xfId="0" applyFill="1" applyBorder="1"/>
    <xf numFmtId="0" fontId="3" fillId="0" borderId="6" xfId="0" applyFont="1" applyBorder="1"/>
    <xf numFmtId="0" fontId="16" fillId="0" borderId="6" xfId="0" applyFont="1" applyBorder="1" applyAlignment="1">
      <alignment horizontal="center" vertical="center"/>
    </xf>
    <xf numFmtId="0" fontId="28" fillId="7" borderId="1" xfId="0" applyFont="1" applyFill="1" applyBorder="1" applyAlignment="1">
      <alignment horizontal="center" vertical="center" wrapText="1"/>
    </xf>
    <xf numFmtId="0" fontId="5" fillId="6" borderId="1" xfId="0" applyFont="1" applyFill="1" applyBorder="1"/>
    <xf numFmtId="0" fontId="5" fillId="7" borderId="1" xfId="0" applyFont="1" applyFill="1" applyBorder="1"/>
    <xf numFmtId="0" fontId="30" fillId="0" borderId="0" xfId="0" applyFont="1" applyAlignment="1">
      <alignment vertical="center"/>
    </xf>
    <xf numFmtId="10" fontId="11" fillId="0" borderId="1" xfId="1" applyNumberFormat="1" applyFont="1" applyBorder="1" applyAlignment="1">
      <alignment horizontal="center" wrapText="1"/>
    </xf>
    <xf numFmtId="0" fontId="2" fillId="8" borderId="1" xfId="0" applyFont="1" applyFill="1" applyBorder="1"/>
    <xf numFmtId="0" fontId="2" fillId="0" borderId="1" xfId="0" applyFont="1" applyBorder="1"/>
    <xf numFmtId="0" fontId="0" fillId="5" borderId="0" xfId="0" applyFill="1"/>
    <xf numFmtId="10" fontId="2" fillId="0" borderId="1" xfId="1" applyNumberFormat="1" applyFont="1" applyBorder="1" applyAlignment="1">
      <alignment horizont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10" fillId="6" borderId="6" xfId="0" applyFont="1" applyFill="1" applyBorder="1" applyAlignment="1">
      <alignment horizontal="center" vertical="center"/>
    </xf>
    <xf numFmtId="0" fontId="10" fillId="6" borderId="3" xfId="0" applyFont="1" applyFill="1" applyBorder="1" applyAlignment="1">
      <alignment horizontal="center" vertical="center"/>
    </xf>
    <xf numFmtId="0" fontId="10" fillId="7" borderId="6" xfId="0" applyFont="1" applyFill="1" applyBorder="1" applyAlignment="1">
      <alignment horizontal="center" vertical="center"/>
    </xf>
    <xf numFmtId="0" fontId="10" fillId="7" borderId="3" xfId="0" applyFont="1" applyFill="1" applyBorder="1" applyAlignment="1">
      <alignment horizontal="center" vertical="center"/>
    </xf>
    <xf numFmtId="0" fontId="10" fillId="6" borderId="6"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5" fillId="13" borderId="1" xfId="0" applyFont="1" applyFill="1" applyBorder="1" applyAlignment="1">
      <alignment horizontal="center" vertical="center"/>
    </xf>
    <xf numFmtId="10" fontId="19" fillId="5" borderId="1" xfId="1" applyNumberFormat="1" applyFont="1" applyFill="1" applyBorder="1" applyAlignment="1">
      <alignment horizontal="center" wrapText="1"/>
    </xf>
    <xf numFmtId="10" fontId="19" fillId="7" borderId="1" xfId="1" applyNumberFormat="1" applyFont="1" applyFill="1" applyBorder="1" applyAlignment="1">
      <alignment horizontal="center" wrapText="1"/>
    </xf>
    <xf numFmtId="0" fontId="5" fillId="0" borderId="1" xfId="0" applyFont="1" applyBorder="1" applyAlignment="1">
      <alignment horizontal="center" vertical="center"/>
    </xf>
    <xf numFmtId="0" fontId="29" fillId="0" borderId="1" xfId="0" applyFont="1" applyBorder="1" applyAlignment="1">
      <alignment horizontal="center" vertical="center" wrapText="1"/>
    </xf>
    <xf numFmtId="0" fontId="23" fillId="0" borderId="20"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0" fillId="0" borderId="0" xfId="0" applyAlignment="1">
      <alignment horizontal="center" wrapText="1"/>
    </xf>
    <xf numFmtId="0" fontId="10" fillId="7" borderId="1" xfId="0" applyFont="1" applyFill="1" applyBorder="1" applyAlignment="1">
      <alignment horizontal="center" vertical="center"/>
    </xf>
    <xf numFmtId="0" fontId="10" fillId="13" borderId="1" xfId="0" applyFont="1" applyFill="1" applyBorder="1" applyAlignment="1">
      <alignment horizontal="center" vertical="center"/>
    </xf>
    <xf numFmtId="0" fontId="10" fillId="0" borderId="1" xfId="0" applyFont="1" applyBorder="1" applyAlignment="1">
      <alignment horizontal="center" vertical="center"/>
    </xf>
    <xf numFmtId="0" fontId="10" fillId="6" borderId="1" xfId="0" applyFont="1" applyFill="1" applyBorder="1" applyAlignment="1">
      <alignment horizontal="center" vertical="center"/>
    </xf>
    <xf numFmtId="0" fontId="5" fillId="7" borderId="26" xfId="0" applyFont="1" applyFill="1" applyBorder="1" applyAlignment="1">
      <alignment horizontal="center" vertical="center"/>
    </xf>
    <xf numFmtId="0" fontId="5" fillId="13" borderId="25" xfId="0" applyFont="1" applyFill="1" applyBorder="1" applyAlignment="1">
      <alignment horizontal="center" vertical="center"/>
    </xf>
  </cellXfs>
  <cellStyles count="3">
    <cellStyle name="Comma" xfId="2" builtinId="3"/>
    <cellStyle name="Normal" xfId="0" builtinId="0"/>
    <cellStyle name="Percent" xfId="1" builtinId="5"/>
  </cellStyles>
  <dxfs count="0"/>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Array" Target="richData/rdarray.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eetMetadata" Target="metadata.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ichStyles" Target="richData/richStyles.xml"/></Relationships>
</file>

<file path=xl/drawings/drawing1.xml><?xml version="1.0" encoding="utf-8"?>
<xdr:wsDr xmlns:xdr="http://schemas.openxmlformats.org/drawingml/2006/spreadsheetDrawing" xmlns:a="http://schemas.openxmlformats.org/drawingml/2006/main">
  <xdr:oneCellAnchor>
    <xdr:from>
      <xdr:col>6</xdr:col>
      <xdr:colOff>723900</xdr:colOff>
      <xdr:row>60</xdr:row>
      <xdr:rowOff>45720</xdr:rowOff>
    </xdr:from>
    <xdr:ext cx="7566660" cy="655949"/>
    <xdr:sp macro="" textlink="">
      <xdr:nvSpPr>
        <xdr:cNvPr id="2" name="TextBox 1">
          <a:extLst>
            <a:ext uri="{FF2B5EF4-FFF2-40B4-BE49-F238E27FC236}">
              <a16:creationId xmlns:a16="http://schemas.microsoft.com/office/drawing/2014/main" id="{7DE5941C-CF96-0D3D-1351-B1CE2190AD7E}"/>
            </a:ext>
          </a:extLst>
        </xdr:cNvPr>
        <xdr:cNvSpPr txBox="1"/>
      </xdr:nvSpPr>
      <xdr:spPr>
        <a:xfrm>
          <a:off x="5951220" y="13060680"/>
          <a:ext cx="7566660" cy="655949"/>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200"/>
            <a:t>Please explain how you categorize the risk categories and allocate the chosen assets into those risk categories. Ensure that all your workings are clearly shown in this sheet. provide  the relevant risk category code in row 59 of Column C to J .</a:t>
          </a:r>
          <a:r>
            <a:rPr lang="en-AU" sz="1200" baseline="0"/>
            <a:t> Also, complete the Column T,U, and V</a:t>
          </a:r>
          <a:endParaRPr lang="en-AU" sz="12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15</xdr:col>
      <xdr:colOff>569888</xdr:colOff>
      <xdr:row>0</xdr:row>
      <xdr:rowOff>183026</xdr:rowOff>
    </xdr:from>
    <xdr:to>
      <xdr:col>24</xdr:col>
      <xdr:colOff>216877</xdr:colOff>
      <xdr:row>19</xdr:row>
      <xdr:rowOff>32970</xdr:rowOff>
    </xdr:to>
    <xdr:sp macro="" textlink="">
      <xdr:nvSpPr>
        <xdr:cNvPr id="2" name="TextBox 1">
          <a:extLst>
            <a:ext uri="{FF2B5EF4-FFF2-40B4-BE49-F238E27FC236}">
              <a16:creationId xmlns:a16="http://schemas.microsoft.com/office/drawing/2014/main" id="{1DBBC1F6-6335-4669-A92B-B46CDD7E8C2F}"/>
            </a:ext>
          </a:extLst>
        </xdr:cNvPr>
        <xdr:cNvSpPr txBox="1"/>
      </xdr:nvSpPr>
      <xdr:spPr>
        <a:xfrm>
          <a:off x="11560273" y="183026"/>
          <a:ext cx="4547235" cy="3232052"/>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rgbClr val="FF0000"/>
              </a:solidFill>
            </a:rPr>
            <a:t>Kindly Note that this is a draft</a:t>
          </a:r>
          <a:r>
            <a:rPr lang="en-AU" sz="1100" b="1" baseline="0">
              <a:solidFill>
                <a:srgbClr val="FF0000"/>
              </a:solidFill>
            </a:rPr>
            <a:t> template for LP modelling</a:t>
          </a:r>
          <a:endParaRPr lang="en-AU" sz="1100" b="1">
            <a:solidFill>
              <a:srgbClr val="FF0000"/>
            </a:solidFill>
          </a:endParaRPr>
        </a:p>
        <a:p>
          <a:endParaRPr lang="en-AU" sz="1100" b="1"/>
        </a:p>
        <a:p>
          <a:r>
            <a:rPr lang="en-AU" sz="1100" b="1"/>
            <a:t>LP Portfolio</a:t>
          </a:r>
          <a:r>
            <a:rPr lang="en-AU" sz="1100" b="1" baseline="0"/>
            <a:t> Mix  </a:t>
          </a:r>
          <a:r>
            <a:rPr lang="en-AU" sz="1100" b="1" baseline="0">
              <a:solidFill>
                <a:srgbClr val="0033CC"/>
              </a:solidFill>
            </a:rPr>
            <a:t> (complete this spreadsheet and this text  box)</a:t>
          </a:r>
        </a:p>
        <a:p>
          <a:endParaRPr lang="en-AU" sz="1100" b="1"/>
        </a:p>
        <a:p>
          <a:r>
            <a:rPr lang="en-AU" sz="1100">
              <a:solidFill>
                <a:schemeClr val="dk1"/>
              </a:solidFill>
              <a:effectLst/>
              <a:latin typeface="+mn-lt"/>
              <a:ea typeface="+mn-ea"/>
              <a:cs typeface="+mn-cs"/>
            </a:rPr>
            <a:t>The objective is to </a:t>
          </a:r>
          <a:endParaRPr lang="en-AU" sz="1100" b="0" i="0" u="none" strike="noStrike" baseline="0">
            <a:solidFill>
              <a:schemeClr val="dk1"/>
            </a:solidFill>
            <a:latin typeface="+mn-lt"/>
            <a:ea typeface="+mn-ea"/>
            <a:cs typeface="+mn-cs"/>
          </a:endParaRPr>
        </a:p>
        <a:p>
          <a:r>
            <a:rPr lang="en-AU" sz="1100" b="0" i="0" u="none" strike="noStrike" baseline="0">
              <a:solidFill>
                <a:schemeClr val="dk1"/>
              </a:solidFill>
              <a:latin typeface="+mn-lt"/>
              <a:ea typeface="+mn-ea"/>
              <a:cs typeface="+mn-cs"/>
            </a:rPr>
            <a:t>achieve the maximum overall return,</a:t>
          </a:r>
          <a:endParaRPr lang="en-AU" sz="1100">
            <a:effectLst/>
          </a:endParaRPr>
        </a:p>
        <a:p>
          <a:endParaRPr lang="en-AU" sz="1100"/>
        </a:p>
        <a:p>
          <a:r>
            <a:rPr lang="en-AU" sz="1100"/>
            <a:t>Subject</a:t>
          </a:r>
          <a:r>
            <a:rPr lang="en-AU" sz="1100" baseline="0"/>
            <a:t> to:</a:t>
          </a:r>
        </a:p>
        <a:p>
          <a:endParaRPr lang="en-AU" sz="1100"/>
        </a:p>
        <a:p>
          <a:pPr lvl="0" rtl="0"/>
          <a:r>
            <a:rPr lang="en-US" sz="1100">
              <a:solidFill>
                <a:schemeClr val="dk1"/>
              </a:solidFill>
              <a:effectLst/>
              <a:latin typeface="+mn-lt"/>
              <a:ea typeface="+mn-ea"/>
              <a:cs typeface="+mn-cs"/>
            </a:rPr>
            <a:t>1-Investment in the high-risk assets shouldn’t exceed 15% of the portfolio; while the lowest risk assets should have the highest investments among all other risk categories</a:t>
          </a:r>
          <a:endParaRPr lang="en-AU" sz="1100">
            <a:solidFill>
              <a:schemeClr val="dk1"/>
            </a:solidFill>
            <a:effectLst/>
            <a:latin typeface="+mn-lt"/>
            <a:ea typeface="+mn-ea"/>
            <a:cs typeface="+mn-cs"/>
          </a:endParaRPr>
        </a:p>
        <a:p>
          <a:pPr lvl="0"/>
          <a:endParaRPr lang="en-AU" sz="1100">
            <a:solidFill>
              <a:schemeClr val="dk1"/>
            </a:solidFill>
            <a:effectLst/>
            <a:latin typeface="+mn-lt"/>
            <a:ea typeface="+mn-ea"/>
            <a:cs typeface="+mn-cs"/>
          </a:endParaRPr>
        </a:p>
        <a:p>
          <a:pPr lvl="0"/>
          <a:r>
            <a:rPr lang="en-AU" sz="1100">
              <a:solidFill>
                <a:schemeClr val="dk1"/>
              </a:solidFill>
              <a:effectLst/>
              <a:latin typeface="+mn-lt"/>
              <a:ea typeface="+mn-ea"/>
              <a:cs typeface="+mn-cs"/>
            </a:rPr>
            <a:t>2.</a:t>
          </a:r>
        </a:p>
        <a:p>
          <a:pPr lvl="0"/>
          <a:r>
            <a:rPr lang="en-AU" sz="1100">
              <a:solidFill>
                <a:schemeClr val="dk1"/>
              </a:solidFill>
              <a:effectLst/>
              <a:latin typeface="+mn-lt"/>
              <a:ea typeface="+mn-ea"/>
              <a:cs typeface="+mn-cs"/>
            </a:rPr>
            <a:t>3.</a:t>
          </a:r>
          <a:endParaRPr lang="en-AU"/>
        </a:p>
        <a:p>
          <a:pPr lvl="0"/>
          <a:r>
            <a:rPr lang="en-AU" sz="1100">
              <a:solidFill>
                <a:schemeClr val="dk1"/>
              </a:solidFill>
              <a:effectLst/>
              <a:latin typeface="+mn-lt"/>
              <a:ea typeface="+mn-ea"/>
              <a:cs typeface="+mn-cs"/>
            </a:rPr>
            <a:t>4.</a:t>
          </a:r>
        </a:p>
        <a:p>
          <a:pPr lvl="0"/>
          <a:r>
            <a:rPr lang="en-AU" sz="1100">
              <a:solidFill>
                <a:schemeClr val="dk1"/>
              </a:solidFill>
              <a:effectLst/>
              <a:latin typeface="+mn-lt"/>
              <a:ea typeface="+mn-ea"/>
              <a:cs typeface="+mn-cs"/>
            </a:rPr>
            <a:t>5.....</a:t>
          </a:r>
        </a:p>
        <a:p>
          <a:pPr lvl="0"/>
          <a:r>
            <a:rPr lang="en-AU" sz="1100">
              <a:solidFill>
                <a:schemeClr val="dk1"/>
              </a:solidFill>
              <a:effectLst/>
              <a:latin typeface="+mn-lt"/>
              <a:ea typeface="+mn-ea"/>
              <a:cs typeface="+mn-cs"/>
            </a:rPr>
            <a:t>ned to complete all requirments/constraints</a:t>
          </a:r>
        </a:p>
        <a:p>
          <a:endParaRPr lang="en-AU" sz="1000"/>
        </a:p>
      </xdr:txBody>
    </xdr:sp>
    <xdr:clientData/>
  </xdr:twoCellAnchor>
  <xdr:oneCellAnchor>
    <xdr:from>
      <xdr:col>15</xdr:col>
      <xdr:colOff>351693</xdr:colOff>
      <xdr:row>21</xdr:row>
      <xdr:rowOff>123092</xdr:rowOff>
    </xdr:from>
    <xdr:ext cx="3572608" cy="1344599"/>
    <xdr:sp macro="" textlink="">
      <xdr:nvSpPr>
        <xdr:cNvPr id="3" name="TextBox 2">
          <a:extLst>
            <a:ext uri="{FF2B5EF4-FFF2-40B4-BE49-F238E27FC236}">
              <a16:creationId xmlns:a16="http://schemas.microsoft.com/office/drawing/2014/main" id="{34D8F67C-0C7F-F345-9D6C-ECB3D2471487}"/>
            </a:ext>
          </a:extLst>
        </xdr:cNvPr>
        <xdr:cNvSpPr txBox="1"/>
      </xdr:nvSpPr>
      <xdr:spPr>
        <a:xfrm>
          <a:off x="11381643" y="3818792"/>
          <a:ext cx="3572608" cy="1344599"/>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600" b="1">
              <a:solidFill>
                <a:srgbClr val="FF0000"/>
              </a:solidFill>
            </a:rPr>
            <a:t>Please feel free to make any necessary changes to this template according to your requirements. You may add, remove, or rearrange rows and columns as needed.</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14</xdr:col>
      <xdr:colOff>274320</xdr:colOff>
      <xdr:row>0</xdr:row>
      <xdr:rowOff>45720</xdr:rowOff>
    </xdr:from>
    <xdr:to>
      <xdr:col>23</xdr:col>
      <xdr:colOff>213360</xdr:colOff>
      <xdr:row>15</xdr:row>
      <xdr:rowOff>32825</xdr:rowOff>
    </xdr:to>
    <xdr:sp macro="" textlink="">
      <xdr:nvSpPr>
        <xdr:cNvPr id="2" name="TextBox 1">
          <a:extLst>
            <a:ext uri="{FF2B5EF4-FFF2-40B4-BE49-F238E27FC236}">
              <a16:creationId xmlns:a16="http://schemas.microsoft.com/office/drawing/2014/main" id="{5F309AE6-ABA8-4370-83D1-FA373B982F25}"/>
            </a:ext>
          </a:extLst>
        </xdr:cNvPr>
        <xdr:cNvSpPr txBox="1"/>
      </xdr:nvSpPr>
      <xdr:spPr>
        <a:xfrm>
          <a:off x="9456420" y="45720"/>
          <a:ext cx="5425440" cy="281412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rgbClr val="FF0000"/>
              </a:solidFill>
              <a:effectLst/>
              <a:latin typeface="+mn-lt"/>
              <a:ea typeface="+mn-ea"/>
              <a:cs typeface="+mn-cs"/>
            </a:rPr>
            <a:t>Kindly Note that this is a draft</a:t>
          </a:r>
          <a:r>
            <a:rPr lang="en-AU" sz="1100" b="1" baseline="0">
              <a:solidFill>
                <a:srgbClr val="FF0000"/>
              </a:solidFill>
              <a:effectLst/>
              <a:latin typeface="+mn-lt"/>
              <a:ea typeface="+mn-ea"/>
              <a:cs typeface="+mn-cs"/>
            </a:rPr>
            <a:t> template for ILP modelling</a:t>
          </a:r>
          <a:endParaRPr lang="en-AU">
            <a:solidFill>
              <a:srgbClr val="FF0000"/>
            </a:solidFill>
            <a:effectLst/>
          </a:endParaRPr>
        </a:p>
        <a:p>
          <a:endParaRPr lang="en-AU" sz="1100" b="1"/>
        </a:p>
        <a:p>
          <a:endParaRPr lang="en-AU" sz="1100" b="1"/>
        </a:p>
        <a:p>
          <a:r>
            <a:rPr lang="en-AU" sz="1100" b="1"/>
            <a:t>LP Portfolio</a:t>
          </a:r>
          <a:r>
            <a:rPr lang="en-AU" sz="1100" b="1" baseline="0"/>
            <a:t> </a:t>
          </a:r>
          <a:r>
            <a:rPr lang="en-AU" sz="1100" b="1" baseline="0">
              <a:solidFill>
                <a:srgbClr val="0033CC"/>
              </a:solidFill>
            </a:rPr>
            <a:t>Mix </a:t>
          </a:r>
          <a:r>
            <a:rPr lang="en-AU" sz="1100" b="1" baseline="0">
              <a:solidFill>
                <a:srgbClr val="0033CC"/>
              </a:solidFill>
              <a:effectLst/>
              <a:latin typeface="+mn-lt"/>
              <a:ea typeface="+mn-ea"/>
              <a:cs typeface="+mn-cs"/>
            </a:rPr>
            <a:t> (complete this spreadsheet and this text  box</a:t>
          </a:r>
          <a:r>
            <a:rPr lang="en-AU" sz="1100" b="1" baseline="0">
              <a:solidFill>
                <a:schemeClr val="dk1"/>
              </a:solidFill>
              <a:effectLst/>
              <a:latin typeface="+mn-lt"/>
              <a:ea typeface="+mn-ea"/>
              <a:cs typeface="+mn-cs"/>
            </a:rPr>
            <a:t>)</a:t>
          </a:r>
          <a:endParaRPr lang="en-AU">
            <a:effectLst/>
          </a:endParaRPr>
        </a:p>
        <a:p>
          <a:endParaRPr lang="en-AU" sz="1100" b="1" baseline="0"/>
        </a:p>
        <a:p>
          <a:endParaRPr lang="en-AU" sz="1100" b="1"/>
        </a:p>
        <a:p>
          <a:r>
            <a:rPr lang="en-AU" sz="1100">
              <a:solidFill>
                <a:schemeClr val="dk1"/>
              </a:solidFill>
              <a:effectLst/>
              <a:latin typeface="+mn-lt"/>
              <a:ea typeface="+mn-ea"/>
              <a:cs typeface="+mn-cs"/>
            </a:rPr>
            <a:t>The objective is to ........</a:t>
          </a:r>
          <a:endParaRPr lang="en-AU" sz="1100">
            <a:effectLst/>
          </a:endParaRPr>
        </a:p>
        <a:p>
          <a:endParaRPr lang="en-AU" sz="1100"/>
        </a:p>
        <a:p>
          <a:r>
            <a:rPr lang="en-AU" sz="1100"/>
            <a:t>Subject</a:t>
          </a:r>
          <a:r>
            <a:rPr lang="en-AU" sz="1100" baseline="0"/>
            <a:t> to:</a:t>
          </a:r>
        </a:p>
        <a:p>
          <a:endParaRPr lang="en-AU" sz="1100"/>
        </a:p>
        <a:p>
          <a:pPr lvl="0"/>
          <a:endParaRPr lang="en-AU" sz="1100">
            <a:solidFill>
              <a:schemeClr val="dk1"/>
            </a:solidFill>
            <a:effectLst/>
            <a:latin typeface="+mn-lt"/>
            <a:ea typeface="+mn-ea"/>
            <a:cs typeface="+mn-cs"/>
          </a:endParaRPr>
        </a:p>
        <a:p>
          <a:endParaRPr lang="en-AU" sz="1000"/>
        </a:p>
      </xdr:txBody>
    </xdr:sp>
    <xdr:clientData/>
  </xdr:twoCellAnchor>
  <xdr:oneCellAnchor>
    <xdr:from>
      <xdr:col>15</xdr:col>
      <xdr:colOff>0</xdr:colOff>
      <xdr:row>17</xdr:row>
      <xdr:rowOff>0</xdr:rowOff>
    </xdr:from>
    <xdr:ext cx="3572608" cy="1501373"/>
    <xdr:sp macro="" textlink="">
      <xdr:nvSpPr>
        <xdr:cNvPr id="3" name="TextBox 2">
          <a:extLst>
            <a:ext uri="{FF2B5EF4-FFF2-40B4-BE49-F238E27FC236}">
              <a16:creationId xmlns:a16="http://schemas.microsoft.com/office/drawing/2014/main" id="{C3A3A00F-2222-4A0D-9CEC-B62AC1497D42}"/>
            </a:ext>
          </a:extLst>
        </xdr:cNvPr>
        <xdr:cNvSpPr txBox="1"/>
      </xdr:nvSpPr>
      <xdr:spPr>
        <a:xfrm>
          <a:off x="9791700" y="3482340"/>
          <a:ext cx="3572608" cy="1501373"/>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800" b="1">
              <a:solidFill>
                <a:srgbClr val="FF0000"/>
              </a:solidFill>
              <a:effectLst/>
              <a:latin typeface="+mn-lt"/>
              <a:ea typeface="+mn-ea"/>
              <a:cs typeface="+mn-cs"/>
            </a:rPr>
            <a:t>Please feel free to make any necessary changes to this template according to your requirements. You may add, remove, or rearrange rows and columns as needed.</a:t>
          </a:r>
          <a:endParaRPr lang="en-AU" sz="1800">
            <a:solidFill>
              <a:srgbClr val="FF0000"/>
            </a:solidFill>
            <a:effectLst/>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2">
  <a r="1" c="49">
    <v t="i">0</v>
    <v t="i">31</v>
    <v t="i">59</v>
    <v t="i">90</v>
    <v t="i">120</v>
    <v t="i">151</v>
    <v t="i">181</v>
    <v t="i">212</v>
    <v t="i">243</v>
    <v t="i">273</v>
    <v t="i">304</v>
    <v t="i">334</v>
    <v t="i">365</v>
    <v t="i">396</v>
    <v t="i">424</v>
    <v t="i">455</v>
    <v t="i">485</v>
    <v t="i">516</v>
    <v t="i">546</v>
    <v t="i">577</v>
    <v t="i">608</v>
    <v t="i">638</v>
    <v t="i">669</v>
    <v t="i">699</v>
    <v t="i">730</v>
    <v t="i">761</v>
    <v t="i">789</v>
    <v t="i">820</v>
    <v t="i">850</v>
    <v t="i">881</v>
    <v t="i">911</v>
    <v t="i">942</v>
    <v t="i">973</v>
    <v t="i">1003</v>
    <v t="i">1034</v>
    <v t="i">1064</v>
    <v t="i">1095</v>
    <v t="i">1126</v>
    <v t="i">1155</v>
    <v t="i">1186</v>
    <v t="i">1216</v>
    <v t="i">1247</v>
    <v t="i">1277</v>
    <v t="i">1308</v>
    <v t="i">1339</v>
    <v t="i">1369</v>
    <v t="i">1400</v>
    <v t="i">1430</v>
    <v t="i">1461</v>
  </a>
  <a r="1" c="49">
    <v>42.84</v>
    <v>44.35</v>
    <v>41.33</v>
    <v>47.21</v>
    <v>46.11</v>
    <v>58.72</v>
    <v>57.98</v>
    <v>63.07</v>
    <v>54.61</v>
    <v>53.28</v>
    <v>62.48</v>
    <v>62.44</v>
    <v>45.1</v>
    <v>46.73</v>
    <v>48.99</v>
    <v>47.48</v>
    <v>42.13</v>
    <v>42.25</v>
    <v>49.54</v>
    <v>54.48</v>
    <v>50.19</v>
    <v>55.82</v>
    <v>59.44</v>
    <v>55.26</v>
    <v>66.849999999999994</v>
    <v>61.01</v>
    <v>63.87</v>
    <v>61.44</v>
    <v>59.35</v>
    <v>65.64</v>
    <v>68.790000000000006</v>
    <v>73.319999999999993</v>
    <v>83.39</v>
    <v>74.540000000000006</v>
    <v>88.41</v>
    <v>95.83</v>
    <v>101.56</v>
    <v>103.82</v>
    <v>103.75</v>
    <v>111.41</v>
    <v>120.12</v>
    <v>143.26</v>
    <v>143.76</v>
    <v>150.69999999999999</v>
    <v>178.25</v>
    <v>194.83</v>
    <v>251.89</v>
    <v>250.12</v>
    <v>278.39999999999998</v>
  </a>
</arrayData>
</file>

<file path=xl/richData/rdrichvalue.xml><?xml version="1.0" encoding="utf-8"?>
<rvData xmlns="http://schemas.microsoft.com/office/spreadsheetml/2017/richdata" count="100">
  <rv s="0">
    <v>2</v>
    <v>18</v>
  </rv>
  <rv s="1">
    <fb>44197</fb>
    <v>0</v>
  </rv>
  <rv s="1">
    <fb>42.84</fb>
    <v>1</v>
  </rv>
  <rv s="1">
    <fb>44228</fb>
    <v>0</v>
  </rv>
  <rv s="1">
    <fb>44.35</fb>
    <v>1</v>
  </rv>
  <rv s="1">
    <fb>44256</fb>
    <v>0</v>
  </rv>
  <rv s="1">
    <fb>41.33</fb>
    <v>1</v>
  </rv>
  <rv s="1">
    <fb>44287</fb>
    <v>0</v>
  </rv>
  <rv s="1">
    <fb>47.21</fb>
    <v>1</v>
  </rv>
  <rv s="1">
    <fb>44317</fb>
    <v>0</v>
  </rv>
  <rv s="1">
    <fb>46.11</fb>
    <v>1</v>
  </rv>
  <rv s="1">
    <fb>44348</fb>
    <v>0</v>
  </rv>
  <rv s="1">
    <fb>58.72</fb>
    <v>1</v>
  </rv>
  <rv s="1">
    <fb>44378</fb>
    <v>0</v>
  </rv>
  <rv s="1">
    <fb>57.98</fb>
    <v>1</v>
  </rv>
  <rv s="1">
    <fb>44409</fb>
    <v>0</v>
  </rv>
  <rv s="1">
    <fb>63.07</fb>
    <v>1</v>
  </rv>
  <rv s="1">
    <fb>44440</fb>
    <v>0</v>
  </rv>
  <rv s="1">
    <fb>54.61</fb>
    <v>1</v>
  </rv>
  <rv s="1">
    <fb>44470</fb>
    <v>0</v>
  </rv>
  <rv s="1">
    <fb>53.28</fb>
    <v>1</v>
  </rv>
  <rv s="1">
    <fb>44501</fb>
    <v>0</v>
  </rv>
  <rv s="1">
    <fb>62.48</fb>
    <v>1</v>
  </rv>
  <rv s="1">
    <fb>44531</fb>
    <v>0</v>
  </rv>
  <rv s="1">
    <fb>62.44</fb>
    <v>1</v>
  </rv>
  <rv s="1">
    <fb>44562</fb>
    <v>0</v>
  </rv>
  <rv s="1">
    <fb>45.1</fb>
    <v>1</v>
  </rv>
  <rv s="1">
    <fb>44593</fb>
    <v>0</v>
  </rv>
  <rv s="1">
    <fb>46.73</fb>
    <v>1</v>
  </rv>
  <rv s="1">
    <fb>44621</fb>
    <v>0</v>
  </rv>
  <rv s="1">
    <fb>48.99</fb>
    <v>1</v>
  </rv>
  <rv s="1">
    <fb>44652</fb>
    <v>0</v>
  </rv>
  <rv s="1">
    <fb>47.48</fb>
    <v>1</v>
  </rv>
  <rv s="1">
    <fb>44682</fb>
    <v>0</v>
  </rv>
  <rv s="1">
    <fb>42.13</fb>
    <v>1</v>
  </rv>
  <rv s="1">
    <fb>44713</fb>
    <v>0</v>
  </rv>
  <rv s="1">
    <fb>42.25</fb>
    <v>1</v>
  </rv>
  <rv s="1">
    <fb>44743</fb>
    <v>0</v>
  </rv>
  <rv s="1">
    <fb>49.54</fb>
    <v>1</v>
  </rv>
  <rv s="1">
    <fb>44774</fb>
    <v>0</v>
  </rv>
  <rv s="1">
    <fb>54.48</fb>
    <v>1</v>
  </rv>
  <rv s="1">
    <fb>44805</fb>
    <v>0</v>
  </rv>
  <rv s="1">
    <fb>50.19</fb>
    <v>1</v>
  </rv>
  <rv s="1">
    <fb>44835</fb>
    <v>0</v>
  </rv>
  <rv s="1">
    <fb>55.82</fb>
    <v>1</v>
  </rv>
  <rv s="1">
    <fb>44866</fb>
    <v>0</v>
  </rv>
  <rv s="1">
    <fb>59.44</fb>
    <v>1</v>
  </rv>
  <rv s="1">
    <fb>44896</fb>
    <v>0</v>
  </rv>
  <rv s="1">
    <fb>55.26</fb>
    <v>1</v>
  </rv>
  <rv s="1">
    <fb>44927</fb>
    <v>0</v>
  </rv>
  <rv s="1">
    <fb>66.849999999999994</fb>
    <v>1</v>
  </rv>
  <rv s="1">
    <fb>44958</fb>
    <v>0</v>
  </rv>
  <rv s="1">
    <fb>61.01</fb>
    <v>1</v>
  </rv>
  <rv s="1">
    <fb>44986</fb>
    <v>0</v>
  </rv>
  <rv s="1">
    <fb>63.87</fb>
    <v>1</v>
  </rv>
  <rv s="1">
    <fb>45017</fb>
    <v>0</v>
  </rv>
  <rv s="1">
    <fb>61.44</fb>
    <v>1</v>
  </rv>
  <rv s="1">
    <fb>45047</fb>
    <v>0</v>
  </rv>
  <rv s="1">
    <fb>59.35</fb>
    <v>1</v>
  </rv>
  <rv s="1">
    <fb>45078</fb>
    <v>0</v>
  </rv>
  <rv s="1">
    <fb>65.64</fb>
    <v>1</v>
  </rv>
  <rv s="1">
    <fb>45108</fb>
    <v>0</v>
  </rv>
  <rv s="1">
    <fb>68.790000000000006</fb>
    <v>1</v>
  </rv>
  <rv s="1">
    <fb>45139</fb>
    <v>0</v>
  </rv>
  <rv s="1">
    <fb>73.319999999999993</fb>
    <v>1</v>
  </rv>
  <rv s="1">
    <fb>45170</fb>
    <v>0</v>
  </rv>
  <rv s="1">
    <fb>83.39</fb>
    <v>1</v>
  </rv>
  <rv s="1">
    <fb>45200</fb>
    <v>0</v>
  </rv>
  <rv s="1">
    <fb>74.540000000000006</fb>
    <v>1</v>
  </rv>
  <rv s="1">
    <fb>45231</fb>
    <v>0</v>
  </rv>
  <rv s="1">
    <fb>88.41</fb>
    <v>1</v>
  </rv>
  <rv s="1">
    <fb>45261</fb>
    <v>0</v>
  </rv>
  <rv s="1">
    <fb>95.83</fb>
    <v>1</v>
  </rv>
  <rv s="1">
    <fb>45292</fb>
    <v>0</v>
  </rv>
  <rv s="1">
    <fb>101.56</fb>
    <v>1</v>
  </rv>
  <rv s="1">
    <fb>45323</fb>
    <v>0</v>
  </rv>
  <rv s="1">
    <fb>103.82</fb>
    <v>1</v>
  </rv>
  <rv s="1">
    <fb>45352</fb>
    <v>0</v>
  </rv>
  <rv s="1">
    <fb>103.75</fb>
    <v>1</v>
  </rv>
  <rv s="1">
    <fb>45383</fb>
    <v>0</v>
  </rv>
  <rv s="1">
    <fb>111.41</fb>
    <v>1</v>
  </rv>
  <rv s="1">
    <fb>45413</fb>
    <v>0</v>
  </rv>
  <rv s="1">
    <fb>120.12</fb>
    <v>1</v>
  </rv>
  <rv s="1">
    <fb>45444</fb>
    <v>0</v>
  </rv>
  <rv s="1">
    <fb>143.26</fb>
    <v>1</v>
  </rv>
  <rv s="1">
    <fb>45474</fb>
    <v>0</v>
  </rv>
  <rv s="1">
    <fb>143.76</fb>
    <v>1</v>
  </rv>
  <rv s="1">
    <fb>45505</fb>
    <v>0</v>
  </rv>
  <rv s="1">
    <fb>150.69999999999999</fb>
    <v>1</v>
  </rv>
  <rv s="1">
    <fb>45536</fb>
    <v>0</v>
  </rv>
  <rv s="1">
    <fb>178.25</fb>
    <v>1</v>
  </rv>
  <rv s="1">
    <fb>45566</fb>
    <v>0</v>
  </rv>
  <rv s="1">
    <fb>194.83</fb>
    <v>1</v>
  </rv>
  <rv s="1">
    <fb>45597</fb>
    <v>0</v>
  </rv>
  <rv s="1">
    <fb>251.89</fb>
    <v>1</v>
  </rv>
  <rv s="1">
    <fb>45627</fb>
    <v>0</v>
  </rv>
  <rv s="1">
    <fb>250.12</fb>
    <v>1</v>
  </rv>
  <rv s="1">
    <fb>45658</fb>
    <v>0</v>
  </rv>
  <rv s="1">
    <fb>278.39999999999998</fb>
    <v>1</v>
  </rv>
  <rv s="2">
    <v>2</v>
    <v>XASX:PME</v>
    <v>Monthly</v>
    <v>44197</v>
    <v>45688</v>
    <v>0</v>
    <v>1</v>
    <v>638738784000000000,638759917557464991,0</v>
    <v>0</v>
    <v>aa8m6h</v>
    <v>XASX:PME</v>
    <v>1</v>
  </rv>
</rvData>
</file>

<file path=xl/richData/rdrichvaluestructure.xml><?xml version="1.0" encoding="utf-8"?>
<rvStructures xmlns="http://schemas.microsoft.com/office/spreadsheetml/2017/richdata" count="3">
  <s t="_error">
    <k n="errorType" t="i"/>
    <k n="subType" t="i"/>
  </s>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3">
    <spb s="0">
      <v>1</v>
    </spb>
    <spb s="0">
      <v>2</v>
    </spb>
    <spb s="1">
      <v>1</v>
      <v>2</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d/mm/yyyy"/>
    </x:dxf>
    <x:dxf>
      <x:numFmt numFmtId="0" formatCode="General"/>
    </x:dxf>
  </dxfs>
  <richProperties>
    <rPr n="NumberFormat" t="s"/>
  </richProperties>
  <richStyles>
    <rSty dxfid="0"/>
    <rSty dxfid="1">
      <rpv i="0">_-[$$-en-AU]* #,##0.00_-;-[$$-en-AU]* #,##0.00_-;_-[$$-en-AU]*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89CE-5790-4F42-991A-178A2091CDD5}">
  <sheetPr>
    <tabColor rgb="FF00B0F0"/>
  </sheetPr>
  <dimension ref="A2:AO56"/>
  <sheetViews>
    <sheetView topLeftCell="A20" zoomScale="80" zoomScaleNormal="80" workbookViewId="0">
      <selection activeCell="D55" sqref="D55"/>
    </sheetView>
  </sheetViews>
  <sheetFormatPr defaultRowHeight="14.4" x14ac:dyDescent="0.3"/>
  <cols>
    <col min="2" max="2" width="14.77734375" customWidth="1"/>
    <col min="3" max="3" width="12.109375" customWidth="1"/>
    <col min="4" max="4" width="13.109375" style="11" customWidth="1"/>
    <col min="5" max="5" width="2.21875" style="28" customWidth="1"/>
    <col min="6" max="6" width="11.44140625" style="28" customWidth="1"/>
    <col min="7" max="7" width="9.21875" style="28" customWidth="1"/>
    <col min="8" max="8" width="15.77734375" style="28" customWidth="1"/>
    <col min="9" max="9" width="1.88671875" style="28" customWidth="1"/>
    <col min="10" max="10" width="12.44140625" style="28" customWidth="1"/>
    <col min="11" max="11" width="8.77734375" style="28" customWidth="1"/>
    <col min="12" max="12" width="10.6640625" style="28" customWidth="1"/>
    <col min="13" max="13" width="2.109375" style="28" customWidth="1"/>
    <col min="14" max="14" width="11.44140625" style="28" customWidth="1"/>
    <col min="17" max="17" width="2.44140625" customWidth="1"/>
    <col min="20" max="20" width="9.77734375" customWidth="1"/>
    <col min="21" max="21" width="2.21875" style="28" customWidth="1"/>
    <col min="22" max="22" width="11.44140625" style="28" customWidth="1"/>
    <col min="23" max="24" width="9.21875" style="28" customWidth="1"/>
    <col min="25" max="25" width="1.88671875" style="28" customWidth="1"/>
    <col min="26" max="26" width="12.44140625" style="28" customWidth="1"/>
    <col min="27" max="27" width="8.77734375" style="28" customWidth="1"/>
    <col min="28" max="28" width="10.6640625" style="28" customWidth="1"/>
    <col min="29" max="29" width="2.109375" style="28" customWidth="1"/>
    <col min="30" max="30" width="11.44140625" style="28" customWidth="1"/>
    <col min="33" max="33" width="2.44140625" customWidth="1"/>
    <col min="34" max="34" width="9.109375" bestFit="1" customWidth="1"/>
    <col min="35" max="35" width="71.44140625" customWidth="1"/>
    <col min="37" max="37" width="28.21875" customWidth="1"/>
    <col min="38" max="38" width="33.88671875" customWidth="1"/>
    <col min="39" max="39" width="25.109375" customWidth="1"/>
    <col min="40" max="40" width="24.33203125" customWidth="1"/>
    <col min="41" max="41" width="12.33203125" customWidth="1"/>
  </cols>
  <sheetData>
    <row r="2" spans="1:41" x14ac:dyDescent="0.3">
      <c r="B2" t="s">
        <v>79</v>
      </c>
    </row>
    <row r="3" spans="1:41" ht="18" x14ac:dyDescent="0.3">
      <c r="B3" t="s">
        <v>80</v>
      </c>
      <c r="D3" s="76" t="s">
        <v>81</v>
      </c>
    </row>
    <row r="4" spans="1:41" ht="27.6" customHeight="1" x14ac:dyDescent="0.3">
      <c r="B4" s="150" t="s">
        <v>83</v>
      </c>
      <c r="C4" s="150"/>
      <c r="D4" s="150"/>
      <c r="E4" s="31"/>
      <c r="F4" s="147" t="s">
        <v>52</v>
      </c>
      <c r="G4" s="147"/>
      <c r="H4" s="147"/>
      <c r="I4" s="35"/>
      <c r="J4" s="148" t="s">
        <v>86</v>
      </c>
      <c r="K4" s="148"/>
      <c r="L4" s="148"/>
      <c r="M4" s="31"/>
      <c r="N4" s="147" t="s">
        <v>53</v>
      </c>
      <c r="O4" s="147"/>
      <c r="P4" s="147"/>
      <c r="Q4" s="31"/>
      <c r="R4" s="148" t="s">
        <v>87</v>
      </c>
      <c r="S4" s="148"/>
      <c r="T4" s="148"/>
      <c r="U4" s="31"/>
      <c r="V4" s="147" t="s">
        <v>54</v>
      </c>
      <c r="W4" s="147"/>
      <c r="X4" s="147"/>
      <c r="Y4" s="35"/>
      <c r="Z4" s="148" t="s">
        <v>88</v>
      </c>
      <c r="AA4" s="148"/>
      <c r="AB4" s="148"/>
      <c r="AC4" s="31"/>
      <c r="AD4" s="147" t="s">
        <v>55</v>
      </c>
      <c r="AE4" s="147"/>
      <c r="AF4" s="147"/>
      <c r="AG4" s="31"/>
    </row>
    <row r="5" spans="1:41" ht="62.4" x14ac:dyDescent="0.3">
      <c r="B5" s="134" t="str" cm="1">
        <f t="array" aca="1" ref="B5:C54" ca="1">_xlfn.STOCKHISTORY("XASX:PME","01-01-2021","01-01-2025",2,1,0,1)</f>
        <v>Date</v>
      </c>
      <c r="C5" s="135" t="str">
        <f ca="1"/>
        <v>Close</v>
      </c>
      <c r="D5" s="133" t="s">
        <v>22</v>
      </c>
      <c r="E5" s="32"/>
      <c r="F5" s="12" t="e" cm="1" vm="1">
        <f t="array" aca="1" ref="F5" ca="1">_xlfn.STOCKHISTORY("xxx","01-01-2021","01-01-2025",2,1,0,1)</f>
        <v>#VALUE!</v>
      </c>
      <c r="G5"/>
      <c r="H5" s="18"/>
      <c r="I5" s="32"/>
      <c r="J5" s="12"/>
      <c r="K5"/>
      <c r="L5" s="18"/>
      <c r="M5" s="32"/>
      <c r="N5" s="12" t="e" cm="1" vm="1">
        <f t="array" aca="1" ref="N5" ca="1">_xlfn.STOCKHISTORY("xxx","01-01-2021","01-01-2025",2,1,0,1)</f>
        <v>#VALUE!</v>
      </c>
      <c r="P5" s="18"/>
      <c r="Q5" s="32"/>
      <c r="R5" s="12" t="e" cm="1" vm="1">
        <f t="array" aca="1" ref="R5" ca="1">_xlfn.STOCKHISTORY("xxx","01-01-2021","01-01-2025",2,1,0,1)</f>
        <v>#VALUE!</v>
      </c>
      <c r="T5" s="18"/>
      <c r="U5" s="32"/>
      <c r="V5" s="12" t="e" cm="1" vm="1">
        <f t="array" aca="1" ref="V5" ca="1">_xlfn.STOCKHISTORY("xxx","01-01-2021","01-01-2025",2,1,0,1)</f>
        <v>#VALUE!</v>
      </c>
      <c r="W5"/>
      <c r="X5" s="18"/>
      <c r="Y5" s="32"/>
      <c r="Z5" s="12" t="e" cm="1" vm="1">
        <f t="array" aca="1" ref="Z5" ca="1">_xlfn.STOCKHISTORY("xxx","01-01-2021","01-01-2025",2,1,0,1)</f>
        <v>#VALUE!</v>
      </c>
      <c r="AA5"/>
      <c r="AB5" s="18"/>
      <c r="AC5" s="32"/>
      <c r="AD5" s="12" t="e" cm="1">
        <f t="array" aca="1" ref="AD5:AF5" ca="1">_xlfn.STOCKHISTORY("xxx","01-01-2021","01-01-2025",B5:D5,1,0,1)</f>
        <v>#VALUE!</v>
      </c>
      <c r="AE5" t="e">
        <f ca="1"/>
        <v>#VALUE!</v>
      </c>
      <c r="AF5" s="18" t="e">
        <f ca="1"/>
        <v>#VALUE!</v>
      </c>
      <c r="AG5" s="32"/>
      <c r="AI5" s="27" t="s">
        <v>96</v>
      </c>
      <c r="AK5" s="17" t="s">
        <v>1</v>
      </c>
      <c r="AL5" s="17" t="s">
        <v>2</v>
      </c>
      <c r="AM5" s="29" t="s">
        <v>3</v>
      </c>
      <c r="AN5" s="30" t="s">
        <v>46</v>
      </c>
      <c r="AO5" s="33" t="s">
        <v>38</v>
      </c>
    </row>
    <row r="6" spans="1:41" ht="15.6" x14ac:dyDescent="0.3">
      <c r="A6">
        <v>0</v>
      </c>
      <c r="B6" s="34" vm="2">
        <f ca="1"/>
        <v>44197</v>
      </c>
      <c r="C6" s="34" vm="3">
        <f ca="1"/>
        <v>42.84</v>
      </c>
      <c r="D6" s="14"/>
      <c r="E6" s="31"/>
      <c r="F6" s="34"/>
      <c r="G6" s="34"/>
      <c r="H6" s="14"/>
      <c r="I6" s="31"/>
      <c r="J6" s="34"/>
      <c r="K6" s="34"/>
      <c r="L6" s="14"/>
      <c r="M6" s="31"/>
      <c r="N6" s="34"/>
      <c r="O6" s="34"/>
      <c r="P6" s="14"/>
      <c r="Q6" s="31"/>
      <c r="R6" s="34"/>
      <c r="S6" s="34"/>
      <c r="T6" s="14"/>
      <c r="U6" s="31"/>
      <c r="V6" s="34"/>
      <c r="W6" s="34"/>
      <c r="X6" s="14"/>
      <c r="Y6" s="31"/>
      <c r="Z6" s="34"/>
      <c r="AA6" s="34"/>
      <c r="AB6" s="14"/>
      <c r="AC6" s="31"/>
      <c r="AD6" s="34"/>
      <c r="AE6" s="34"/>
      <c r="AF6" s="14"/>
      <c r="AG6" s="31"/>
      <c r="AK6" s="15" t="s">
        <v>97</v>
      </c>
      <c r="AL6" s="130" t="s">
        <v>98</v>
      </c>
      <c r="AM6" s="140" t="s">
        <v>10</v>
      </c>
      <c r="AN6" s="146" t="s">
        <v>64</v>
      </c>
      <c r="AO6" s="90" t="s">
        <v>56</v>
      </c>
    </row>
    <row r="7" spans="1:41" ht="15.6" x14ac:dyDescent="0.3">
      <c r="A7">
        <v>1</v>
      </c>
      <c r="B7" s="34" vm="4">
        <f ca="1"/>
        <v>44228</v>
      </c>
      <c r="C7" s="34" vm="5">
        <f ca="1"/>
        <v>44.35</v>
      </c>
      <c r="D7" s="14">
        <f ca="1">(C7-C6)/C6</f>
        <v>3.5247432306255787E-2</v>
      </c>
      <c r="E7" s="31"/>
      <c r="F7" s="34"/>
      <c r="G7" s="34"/>
      <c r="H7" s="14"/>
      <c r="I7" s="31"/>
      <c r="J7" s="34"/>
      <c r="K7" s="34"/>
      <c r="L7" s="14"/>
      <c r="M7" s="31"/>
      <c r="N7" s="34"/>
      <c r="O7" s="34"/>
      <c r="P7" s="14"/>
      <c r="Q7" s="31"/>
      <c r="R7" s="34"/>
      <c r="S7" s="34"/>
      <c r="T7" s="14"/>
      <c r="U7" s="31"/>
      <c r="V7" s="34"/>
      <c r="W7" s="34"/>
      <c r="X7" s="14"/>
      <c r="Y7" s="31"/>
      <c r="Z7" s="34"/>
      <c r="AA7" s="34"/>
      <c r="AB7" s="14"/>
      <c r="AC7" s="31"/>
      <c r="AD7" s="34"/>
      <c r="AE7" s="34"/>
      <c r="AF7" s="14"/>
      <c r="AG7" s="31"/>
      <c r="AI7" s="13" t="s">
        <v>23</v>
      </c>
      <c r="AK7" s="15"/>
      <c r="AL7" s="132" t="s">
        <v>104</v>
      </c>
      <c r="AM7" s="141"/>
      <c r="AN7" s="146"/>
      <c r="AO7" s="90" t="s">
        <v>57</v>
      </c>
    </row>
    <row r="8" spans="1:41" ht="15.6" x14ac:dyDescent="0.3">
      <c r="A8">
        <v>2</v>
      </c>
      <c r="B8" s="34" vm="6">
        <f ca="1"/>
        <v>44256</v>
      </c>
      <c r="C8" s="34" vm="7">
        <f ca="1"/>
        <v>41.33</v>
      </c>
      <c r="D8" s="14">
        <f t="shared" ref="D8:D54" ca="1" si="0">(C8-C7)/C7</f>
        <v>-6.809470124013535E-2</v>
      </c>
      <c r="E8" s="31"/>
      <c r="F8" s="34"/>
      <c r="G8" s="34"/>
      <c r="H8" s="14"/>
      <c r="I8" s="31"/>
      <c r="J8" s="34"/>
      <c r="K8" s="34"/>
      <c r="L8" s="14"/>
      <c r="M8" s="31"/>
      <c r="N8" s="34"/>
      <c r="O8" s="34"/>
      <c r="P8" s="14"/>
      <c r="Q8" s="31"/>
      <c r="R8" s="34"/>
      <c r="S8" s="34"/>
      <c r="T8" s="14"/>
      <c r="U8" s="31"/>
      <c r="V8" s="34"/>
      <c r="W8" s="34"/>
      <c r="X8" s="14"/>
      <c r="Y8" s="31"/>
      <c r="Z8" s="34"/>
      <c r="AA8" s="34"/>
      <c r="AB8" s="14"/>
      <c r="AC8" s="31"/>
      <c r="AD8" s="34"/>
      <c r="AE8" s="34"/>
      <c r="AF8" s="14"/>
      <c r="AG8" s="31"/>
      <c r="AI8" s="13" t="s">
        <v>24</v>
      </c>
      <c r="AK8" s="16" t="s">
        <v>99</v>
      </c>
      <c r="AL8" s="131" t="s">
        <v>100</v>
      </c>
      <c r="AM8" s="142" t="s">
        <v>11</v>
      </c>
      <c r="AN8" s="149" t="s">
        <v>65</v>
      </c>
      <c r="AO8" s="92" t="s">
        <v>58</v>
      </c>
    </row>
    <row r="9" spans="1:41" ht="15.6" x14ac:dyDescent="0.3">
      <c r="A9">
        <v>3</v>
      </c>
      <c r="B9" s="34" vm="8">
        <f ca="1"/>
        <v>44287</v>
      </c>
      <c r="C9" s="34" vm="9">
        <f ca="1"/>
        <v>47.21</v>
      </c>
      <c r="D9" s="14">
        <f t="shared" ca="1" si="0"/>
        <v>0.142269537865957</v>
      </c>
      <c r="E9" s="31"/>
      <c r="F9" s="34"/>
      <c r="G9" s="34"/>
      <c r="H9" s="14"/>
      <c r="I9" s="31"/>
      <c r="J9" s="34"/>
      <c r="K9" s="34"/>
      <c r="L9" s="14"/>
      <c r="M9" s="31"/>
      <c r="N9" s="34"/>
      <c r="O9" s="34"/>
      <c r="P9" s="14"/>
      <c r="Q9" s="31"/>
      <c r="R9" s="34"/>
      <c r="S9" s="34"/>
      <c r="T9" s="14"/>
      <c r="U9" s="31"/>
      <c r="V9" s="34"/>
      <c r="W9" s="34"/>
      <c r="X9" s="14"/>
      <c r="Y9" s="31"/>
      <c r="Z9" s="34"/>
      <c r="AA9" s="34"/>
      <c r="AB9" s="14"/>
      <c r="AC9" s="31"/>
      <c r="AD9" s="34"/>
      <c r="AE9" s="34"/>
      <c r="AF9" s="14"/>
      <c r="AG9" s="31"/>
      <c r="AI9" s="13" t="s">
        <v>33</v>
      </c>
      <c r="AK9" s="16"/>
      <c r="AL9" s="132" t="s">
        <v>104</v>
      </c>
      <c r="AM9" s="143"/>
      <c r="AN9" s="149"/>
      <c r="AO9" s="92" t="s">
        <v>59</v>
      </c>
    </row>
    <row r="10" spans="1:41" ht="15.6" x14ac:dyDescent="0.3">
      <c r="A10">
        <v>4</v>
      </c>
      <c r="B10" s="34" vm="10">
        <f ca="1"/>
        <v>44317</v>
      </c>
      <c r="C10" s="34" vm="11">
        <f ca="1"/>
        <v>46.11</v>
      </c>
      <c r="D10" s="14">
        <f t="shared" ca="1" si="0"/>
        <v>-2.3300148273670863E-2</v>
      </c>
      <c r="E10" s="31"/>
      <c r="F10" s="34"/>
      <c r="G10" s="34"/>
      <c r="H10" s="14"/>
      <c r="I10" s="31"/>
      <c r="J10" s="34"/>
      <c r="K10" s="34"/>
      <c r="L10" s="14"/>
      <c r="M10" s="31"/>
      <c r="N10" s="34"/>
      <c r="O10" s="34"/>
      <c r="P10" s="14"/>
      <c r="Q10" s="31"/>
      <c r="R10" s="34"/>
      <c r="S10" s="34"/>
      <c r="T10" s="14"/>
      <c r="U10" s="31"/>
      <c r="V10" s="34"/>
      <c r="W10" s="34"/>
      <c r="X10" s="14"/>
      <c r="Y10" s="31"/>
      <c r="Z10" s="34"/>
      <c r="AA10" s="34"/>
      <c r="AB10" s="14"/>
      <c r="AC10" s="31"/>
      <c r="AD10" s="34"/>
      <c r="AE10" s="34"/>
      <c r="AF10" s="14"/>
      <c r="AG10" s="31"/>
      <c r="AI10" s="13" t="s">
        <v>25</v>
      </c>
      <c r="AK10" s="15" t="s">
        <v>101</v>
      </c>
      <c r="AL10" s="130" t="s">
        <v>102</v>
      </c>
      <c r="AM10" s="144" t="s">
        <v>28</v>
      </c>
      <c r="AN10" s="138" t="s">
        <v>66</v>
      </c>
      <c r="AO10" s="93" t="s">
        <v>60</v>
      </c>
    </row>
    <row r="11" spans="1:41" ht="15.6" x14ac:dyDescent="0.3">
      <c r="A11">
        <v>5</v>
      </c>
      <c r="B11" s="34" vm="12">
        <f ca="1"/>
        <v>44348</v>
      </c>
      <c r="C11" s="34" vm="13">
        <f ca="1"/>
        <v>58.72</v>
      </c>
      <c r="D11" s="14">
        <f t="shared" ca="1" si="0"/>
        <v>0.27347646931251357</v>
      </c>
      <c r="E11" s="31"/>
      <c r="F11" s="34"/>
      <c r="G11" s="34"/>
      <c r="H11" s="14"/>
      <c r="I11" s="31"/>
      <c r="J11" s="34"/>
      <c r="K11" s="34"/>
      <c r="L11" s="14"/>
      <c r="M11" s="31"/>
      <c r="N11" s="34"/>
      <c r="O11" s="34"/>
      <c r="P11" s="14"/>
      <c r="Q11" s="31"/>
      <c r="R11" s="34"/>
      <c r="S11" s="34"/>
      <c r="T11" s="14"/>
      <c r="U11" s="31"/>
      <c r="V11" s="34"/>
      <c r="W11" s="34"/>
      <c r="X11" s="14"/>
      <c r="Y11" s="31"/>
      <c r="Z11" s="34"/>
      <c r="AA11" s="34"/>
      <c r="AB11" s="14"/>
      <c r="AC11" s="31"/>
      <c r="AD11" s="34"/>
      <c r="AE11" s="34"/>
      <c r="AF11" s="14"/>
      <c r="AG11" s="31"/>
      <c r="AI11" s="13" t="s">
        <v>27</v>
      </c>
      <c r="AK11" s="15"/>
      <c r="AL11" s="132" t="s">
        <v>104</v>
      </c>
      <c r="AM11" s="145"/>
      <c r="AN11" s="138"/>
      <c r="AO11" s="93" t="s">
        <v>61</v>
      </c>
    </row>
    <row r="12" spans="1:41" ht="15.6" x14ac:dyDescent="0.3">
      <c r="A12">
        <v>6</v>
      </c>
      <c r="B12" s="34" vm="14">
        <f ca="1"/>
        <v>44378</v>
      </c>
      <c r="C12" s="34" vm="15">
        <f ca="1"/>
        <v>57.98</v>
      </c>
      <c r="D12" s="14">
        <f t="shared" ca="1" si="0"/>
        <v>-1.2602179836512295E-2</v>
      </c>
      <c r="E12" s="31"/>
      <c r="F12" s="34"/>
      <c r="G12" s="34"/>
      <c r="H12" s="14"/>
      <c r="I12" s="31"/>
      <c r="J12" s="34"/>
      <c r="K12" s="34"/>
      <c r="L12" s="14"/>
      <c r="M12" s="31"/>
      <c r="N12" s="34"/>
      <c r="O12" s="34"/>
      <c r="P12" s="14"/>
      <c r="Q12" s="31"/>
      <c r="R12" s="34"/>
      <c r="S12" s="34"/>
      <c r="T12" s="14"/>
      <c r="U12" s="31"/>
      <c r="V12" s="34"/>
      <c r="W12" s="34"/>
      <c r="X12" s="14"/>
      <c r="Y12" s="31"/>
      <c r="Z12" s="34"/>
      <c r="AA12" s="34"/>
      <c r="AB12" s="14"/>
      <c r="AC12" s="31"/>
      <c r="AD12" s="34"/>
      <c r="AE12" s="34"/>
      <c r="AF12" s="14"/>
      <c r="AG12" s="31"/>
      <c r="AI12" s="13" t="s">
        <v>26</v>
      </c>
      <c r="AK12" s="9" t="s">
        <v>90</v>
      </c>
      <c r="AL12" s="131" t="s">
        <v>103</v>
      </c>
      <c r="AM12" s="142" t="s">
        <v>21</v>
      </c>
      <c r="AN12" s="139" t="s">
        <v>67</v>
      </c>
      <c r="AO12" s="94" t="s">
        <v>62</v>
      </c>
    </row>
    <row r="13" spans="1:41" ht="15.6" x14ac:dyDescent="0.3">
      <c r="A13">
        <v>7</v>
      </c>
      <c r="B13" s="34" vm="16">
        <f ca="1"/>
        <v>44409</v>
      </c>
      <c r="C13" s="34" vm="17">
        <f ca="1"/>
        <v>63.07</v>
      </c>
      <c r="D13" s="14">
        <f t="shared" ca="1" si="0"/>
        <v>8.7788892721628209E-2</v>
      </c>
      <c r="E13" s="31"/>
      <c r="F13" s="34"/>
      <c r="G13" s="34"/>
      <c r="H13" s="14"/>
      <c r="I13" s="31"/>
      <c r="J13" s="34"/>
      <c r="K13" s="34"/>
      <c r="L13" s="14"/>
      <c r="M13" s="31"/>
      <c r="N13" s="34"/>
      <c r="O13" s="34"/>
      <c r="P13" s="14"/>
      <c r="Q13" s="31"/>
      <c r="R13" s="34"/>
      <c r="S13" s="34"/>
      <c r="T13" s="14"/>
      <c r="U13" s="31"/>
      <c r="V13" s="34"/>
      <c r="W13" s="34"/>
      <c r="X13" s="14"/>
      <c r="Y13" s="31"/>
      <c r="Z13" s="34"/>
      <c r="AA13" s="34"/>
      <c r="AB13" s="14"/>
      <c r="AC13" s="31"/>
      <c r="AD13" s="34"/>
      <c r="AE13" s="34"/>
      <c r="AF13" s="14"/>
      <c r="AG13" s="31"/>
      <c r="AI13" s="13" t="s">
        <v>41</v>
      </c>
      <c r="AK13" s="26"/>
      <c r="AL13" s="132" t="s">
        <v>104</v>
      </c>
      <c r="AM13" s="143"/>
      <c r="AN13" s="139"/>
      <c r="AO13" s="94" t="s">
        <v>63</v>
      </c>
    </row>
    <row r="14" spans="1:41" x14ac:dyDescent="0.3">
      <c r="A14">
        <v>8</v>
      </c>
      <c r="B14" s="34" vm="18">
        <f ca="1"/>
        <v>44440</v>
      </c>
      <c r="C14" s="34" vm="19">
        <f ca="1"/>
        <v>54.61</v>
      </c>
      <c r="D14" s="14">
        <f t="shared" ca="1" si="0"/>
        <v>-0.13413667353733949</v>
      </c>
      <c r="E14" s="31"/>
      <c r="F14" s="34"/>
      <c r="G14" s="34"/>
      <c r="H14" s="14"/>
      <c r="I14" s="31"/>
      <c r="J14" s="34"/>
      <c r="K14" s="34"/>
      <c r="L14" s="14"/>
      <c r="M14" s="31"/>
      <c r="N14" s="34"/>
      <c r="O14" s="34"/>
      <c r="P14" s="14"/>
      <c r="Q14" s="31"/>
      <c r="R14" s="34"/>
      <c r="S14" s="34"/>
      <c r="T14" s="14"/>
      <c r="U14" s="31"/>
      <c r="V14" s="34"/>
      <c r="W14" s="34"/>
      <c r="X14" s="14"/>
      <c r="Y14" s="31"/>
      <c r="Z14" s="34"/>
      <c r="AA14" s="34"/>
      <c r="AB14" s="14"/>
      <c r="AC14" s="31"/>
      <c r="AD14" s="34"/>
      <c r="AE14" s="34"/>
      <c r="AF14" s="14"/>
      <c r="AG14" s="31"/>
      <c r="AI14" s="13"/>
    </row>
    <row r="15" spans="1:41" x14ac:dyDescent="0.3">
      <c r="A15">
        <v>9</v>
      </c>
      <c r="B15" s="34" vm="20">
        <f ca="1"/>
        <v>44470</v>
      </c>
      <c r="C15" s="34" vm="21">
        <f ca="1"/>
        <v>53.28</v>
      </c>
      <c r="D15" s="14">
        <f t="shared" ca="1" si="0"/>
        <v>-2.4354513825306689E-2</v>
      </c>
      <c r="E15" s="31"/>
      <c r="F15" s="34"/>
      <c r="G15" s="34"/>
      <c r="H15" s="14"/>
      <c r="I15" s="31"/>
      <c r="J15" s="34"/>
      <c r="K15" s="34"/>
      <c r="L15" s="14"/>
      <c r="M15" s="31"/>
      <c r="N15" s="34"/>
      <c r="O15" s="34"/>
      <c r="P15" s="14"/>
      <c r="Q15" s="31"/>
      <c r="R15" s="34"/>
      <c r="S15" s="34"/>
      <c r="T15" s="14"/>
      <c r="U15" s="31"/>
      <c r="V15" s="34"/>
      <c r="W15" s="34"/>
      <c r="X15" s="14"/>
      <c r="Y15" s="31"/>
      <c r="Z15" s="34"/>
      <c r="AA15" s="34"/>
      <c r="AB15" s="14"/>
      <c r="AC15" s="31"/>
      <c r="AD15" s="34"/>
      <c r="AE15" s="34"/>
      <c r="AF15" s="14"/>
      <c r="AG15" s="31"/>
      <c r="AI15" s="13" t="s">
        <v>34</v>
      </c>
    </row>
    <row r="16" spans="1:41" x14ac:dyDescent="0.3">
      <c r="A16">
        <v>10</v>
      </c>
      <c r="B16" s="34" vm="22">
        <f ca="1"/>
        <v>44501</v>
      </c>
      <c r="C16" s="34" vm="23">
        <f ca="1"/>
        <v>62.48</v>
      </c>
      <c r="D16" s="14">
        <f t="shared" ca="1" si="0"/>
        <v>0.17267267267267258</v>
      </c>
      <c r="E16" s="31"/>
      <c r="F16" s="34"/>
      <c r="G16" s="34"/>
      <c r="H16" s="14"/>
      <c r="I16" s="31"/>
      <c r="J16" s="34"/>
      <c r="K16" s="34"/>
      <c r="L16" s="14"/>
      <c r="M16" s="31"/>
      <c r="N16" s="34"/>
      <c r="O16" s="34"/>
      <c r="P16" s="14"/>
      <c r="Q16" s="31"/>
      <c r="R16" s="34"/>
      <c r="S16" s="34"/>
      <c r="T16" s="14"/>
      <c r="U16" s="31"/>
      <c r="V16" s="34"/>
      <c r="W16" s="34"/>
      <c r="X16" s="14"/>
      <c r="Y16" s="31"/>
      <c r="Z16" s="34"/>
      <c r="AA16" s="34"/>
      <c r="AB16" s="14"/>
      <c r="AC16" s="31"/>
      <c r="AD16" s="34"/>
      <c r="AE16" s="34"/>
      <c r="AF16" s="14"/>
      <c r="AG16" s="31"/>
    </row>
    <row r="17" spans="1:38" x14ac:dyDescent="0.3">
      <c r="A17">
        <v>11</v>
      </c>
      <c r="B17" s="34" vm="24">
        <f ca="1"/>
        <v>44531</v>
      </c>
      <c r="C17" s="34" vm="25">
        <f ca="1"/>
        <v>62.44</v>
      </c>
      <c r="D17" s="14">
        <f t="shared" ca="1" si="0"/>
        <v>-6.4020486555696466E-4</v>
      </c>
      <c r="E17" s="31"/>
      <c r="F17" s="34"/>
      <c r="G17" s="34"/>
      <c r="H17" s="14"/>
      <c r="I17" s="31"/>
      <c r="J17" s="34"/>
      <c r="K17" s="34"/>
      <c r="L17" s="14"/>
      <c r="M17" s="31"/>
      <c r="N17" s="34"/>
      <c r="O17" s="34"/>
      <c r="P17" s="14"/>
      <c r="Q17" s="31"/>
      <c r="R17" s="34"/>
      <c r="S17" s="34"/>
      <c r="T17" s="14"/>
      <c r="U17" s="31"/>
      <c r="V17" s="34"/>
      <c r="W17" s="34"/>
      <c r="X17" s="14"/>
      <c r="Y17" s="31"/>
      <c r="Z17" s="34"/>
      <c r="AA17" s="34"/>
      <c r="AB17" s="14"/>
      <c r="AC17" s="31"/>
      <c r="AD17" s="34"/>
      <c r="AE17" s="34"/>
      <c r="AF17" s="14"/>
      <c r="AG17" s="31"/>
      <c r="AI17" s="13" t="s">
        <v>106</v>
      </c>
    </row>
    <row r="18" spans="1:38" x14ac:dyDescent="0.3">
      <c r="A18">
        <v>12</v>
      </c>
      <c r="B18" s="34" vm="26">
        <f ca="1"/>
        <v>44562</v>
      </c>
      <c r="C18" s="34" vm="27">
        <f ca="1"/>
        <v>45.1</v>
      </c>
      <c r="D18" s="14">
        <f t="shared" ca="1" si="0"/>
        <v>-0.27770659833440098</v>
      </c>
      <c r="E18" s="31"/>
      <c r="F18" s="34"/>
      <c r="G18" s="34"/>
      <c r="H18" s="14"/>
      <c r="I18" s="31"/>
      <c r="J18" s="34"/>
      <c r="K18" s="34"/>
      <c r="L18" s="14"/>
      <c r="M18" s="31"/>
      <c r="N18" s="34"/>
      <c r="O18" s="34"/>
      <c r="P18" s="14"/>
      <c r="Q18" s="31"/>
      <c r="R18" s="34"/>
      <c r="S18" s="34"/>
      <c r="T18" s="14"/>
      <c r="U18" s="31"/>
      <c r="V18" s="34"/>
      <c r="W18" s="34"/>
      <c r="X18" s="14"/>
      <c r="Y18" s="31"/>
      <c r="Z18" s="34"/>
      <c r="AA18" s="34"/>
      <c r="AB18" s="14"/>
      <c r="AC18" s="31"/>
      <c r="AD18" s="34"/>
      <c r="AE18" s="34"/>
      <c r="AF18" s="14"/>
      <c r="AG18" s="31"/>
    </row>
    <row r="19" spans="1:38" x14ac:dyDescent="0.3">
      <c r="A19">
        <v>13</v>
      </c>
      <c r="B19" s="34" vm="28">
        <f ca="1"/>
        <v>44593</v>
      </c>
      <c r="C19" s="34" vm="29">
        <f ca="1"/>
        <v>46.73</v>
      </c>
      <c r="D19" s="14">
        <f t="shared" ca="1" si="0"/>
        <v>3.6141906873614085E-2</v>
      </c>
      <c r="E19" s="31"/>
      <c r="F19" s="34"/>
      <c r="G19" s="34"/>
      <c r="H19" s="14"/>
      <c r="I19" s="31"/>
      <c r="J19" s="34"/>
      <c r="K19" s="34"/>
      <c r="L19" s="14"/>
      <c r="M19" s="31"/>
      <c r="N19" s="34"/>
      <c r="O19" s="34"/>
      <c r="P19" s="14"/>
      <c r="Q19" s="31"/>
      <c r="R19" s="34"/>
      <c r="S19" s="34"/>
      <c r="T19" s="14"/>
      <c r="U19" s="31"/>
      <c r="V19" s="34"/>
      <c r="W19" s="34"/>
      <c r="X19" s="14"/>
      <c r="Y19" s="31"/>
      <c r="Z19" s="34"/>
      <c r="AA19" s="34"/>
      <c r="AB19" s="14"/>
      <c r="AC19" s="31"/>
      <c r="AD19" s="34"/>
      <c r="AE19" s="34"/>
      <c r="AF19" s="14"/>
      <c r="AG19" s="31"/>
    </row>
    <row r="20" spans="1:38" x14ac:dyDescent="0.3">
      <c r="A20">
        <v>14</v>
      </c>
      <c r="B20" s="34" vm="30">
        <f ca="1"/>
        <v>44621</v>
      </c>
      <c r="C20" s="34" vm="31">
        <f ca="1"/>
        <v>48.99</v>
      </c>
      <c r="D20" s="14">
        <f t="shared" ca="1" si="0"/>
        <v>4.8362936015407774E-2</v>
      </c>
      <c r="E20" s="31"/>
      <c r="F20" s="34"/>
      <c r="G20" s="34"/>
      <c r="H20" s="14"/>
      <c r="I20" s="31"/>
      <c r="J20" s="34"/>
      <c r="K20" s="34"/>
      <c r="L20" s="14"/>
      <c r="M20" s="31"/>
      <c r="N20" s="34"/>
      <c r="O20" s="34"/>
      <c r="P20" s="14"/>
      <c r="Q20" s="31"/>
      <c r="R20" s="34"/>
      <c r="S20" s="34"/>
      <c r="T20" s="14"/>
      <c r="U20" s="31"/>
      <c r="V20" s="34"/>
      <c r="W20" s="34"/>
      <c r="X20" s="14"/>
      <c r="Y20" s="31"/>
      <c r="Z20" s="34"/>
      <c r="AA20" s="34"/>
      <c r="AB20" s="14"/>
      <c r="AC20" s="31"/>
      <c r="AD20" s="34"/>
      <c r="AE20" s="34"/>
      <c r="AF20" s="14"/>
      <c r="AG20" s="31"/>
    </row>
    <row r="21" spans="1:38" x14ac:dyDescent="0.3">
      <c r="A21">
        <v>15</v>
      </c>
      <c r="B21" s="34" vm="32">
        <f ca="1"/>
        <v>44652</v>
      </c>
      <c r="C21" s="34" vm="33">
        <f ca="1"/>
        <v>47.48</v>
      </c>
      <c r="D21" s="14">
        <f t="shared" ca="1" si="0"/>
        <v>-3.0822616860583896E-2</v>
      </c>
      <c r="E21" s="31"/>
      <c r="F21" s="34"/>
      <c r="G21" s="34"/>
      <c r="H21" s="14"/>
      <c r="I21" s="31"/>
      <c r="J21" s="34"/>
      <c r="K21" s="34"/>
      <c r="L21" s="14"/>
      <c r="M21" s="31"/>
      <c r="N21" s="34"/>
      <c r="O21" s="34"/>
      <c r="P21" s="14"/>
      <c r="Q21" s="31"/>
      <c r="R21" s="34"/>
      <c r="S21" s="34"/>
      <c r="T21" s="14"/>
      <c r="U21" s="31"/>
      <c r="V21" s="34"/>
      <c r="W21" s="34"/>
      <c r="X21" s="14"/>
      <c r="Y21" s="31"/>
      <c r="Z21" s="34"/>
      <c r="AA21" s="34"/>
      <c r="AB21" s="14"/>
      <c r="AC21" s="31"/>
      <c r="AD21" s="34"/>
      <c r="AE21" s="34"/>
      <c r="AF21" s="14"/>
      <c r="AG21" s="31"/>
      <c r="AI21" s="9"/>
    </row>
    <row r="22" spans="1:38" x14ac:dyDescent="0.3">
      <c r="A22">
        <v>16</v>
      </c>
      <c r="B22" s="34" vm="34">
        <f ca="1"/>
        <v>44682</v>
      </c>
      <c r="C22" s="34" vm="35">
        <f ca="1"/>
        <v>42.13</v>
      </c>
      <c r="D22" s="14">
        <f t="shared" ca="1" si="0"/>
        <v>-0.11267902274641943</v>
      </c>
      <c r="E22" s="31"/>
      <c r="F22" s="34"/>
      <c r="G22" s="34"/>
      <c r="H22" s="14"/>
      <c r="I22" s="31"/>
      <c r="J22" s="34"/>
      <c r="K22" s="34"/>
      <c r="L22" s="14"/>
      <c r="M22" s="31"/>
      <c r="N22" s="34"/>
      <c r="O22" s="34"/>
      <c r="P22" s="14"/>
      <c r="Q22" s="31"/>
      <c r="R22" s="34"/>
      <c r="S22" s="34"/>
      <c r="T22" s="14"/>
      <c r="U22" s="31"/>
      <c r="V22" s="34"/>
      <c r="W22" s="34"/>
      <c r="X22" s="14"/>
      <c r="Y22" s="31"/>
      <c r="Z22" s="34"/>
      <c r="AA22" s="34"/>
      <c r="AB22" s="14"/>
      <c r="AC22" s="31"/>
      <c r="AD22" s="34"/>
      <c r="AE22" s="34"/>
      <c r="AF22" s="14"/>
      <c r="AG22" s="31"/>
      <c r="AI22" s="45"/>
      <c r="AL22" s="25"/>
    </row>
    <row r="23" spans="1:38" x14ac:dyDescent="0.3">
      <c r="A23">
        <v>17</v>
      </c>
      <c r="B23" s="34" vm="36">
        <f ca="1"/>
        <v>44713</v>
      </c>
      <c r="C23" s="34" vm="37">
        <f ca="1"/>
        <v>42.25</v>
      </c>
      <c r="D23" s="14">
        <f t="shared" ca="1" si="0"/>
        <v>2.8483266081176699E-3</v>
      </c>
      <c r="E23" s="31"/>
      <c r="F23" s="34"/>
      <c r="G23" s="34"/>
      <c r="H23" s="14"/>
      <c r="I23" s="31"/>
      <c r="J23" s="34"/>
      <c r="K23" s="34"/>
      <c r="L23" s="14"/>
      <c r="M23" s="31"/>
      <c r="N23" s="34"/>
      <c r="O23" s="34"/>
      <c r="P23" s="14"/>
      <c r="Q23" s="31"/>
      <c r="R23" s="34"/>
      <c r="S23" s="34"/>
      <c r="T23" s="14"/>
      <c r="U23" s="31"/>
      <c r="V23" s="34"/>
      <c r="W23" s="34"/>
      <c r="X23" s="14"/>
      <c r="Y23" s="31"/>
      <c r="Z23" s="34"/>
      <c r="AA23" s="34"/>
      <c r="AB23" s="14"/>
      <c r="AC23" s="31"/>
      <c r="AD23" s="34"/>
      <c r="AE23" s="34"/>
      <c r="AF23" s="14"/>
      <c r="AG23" s="31"/>
      <c r="AI23" s="45"/>
    </row>
    <row r="24" spans="1:38" x14ac:dyDescent="0.3">
      <c r="A24">
        <v>18</v>
      </c>
      <c r="B24" s="34" vm="38">
        <f ca="1"/>
        <v>44743</v>
      </c>
      <c r="C24" s="34" vm="39">
        <f ca="1"/>
        <v>49.54</v>
      </c>
      <c r="D24" s="14">
        <f t="shared" ca="1" si="0"/>
        <v>0.17254437869822484</v>
      </c>
      <c r="E24" s="31"/>
      <c r="F24" s="34"/>
      <c r="G24" s="34"/>
      <c r="H24" s="14"/>
      <c r="I24" s="31"/>
      <c r="J24" s="34"/>
      <c r="K24" s="34"/>
      <c r="L24" s="14"/>
      <c r="M24" s="31"/>
      <c r="N24" s="34"/>
      <c r="O24" s="34"/>
      <c r="P24" s="14"/>
      <c r="Q24" s="31"/>
      <c r="R24" s="34"/>
      <c r="S24" s="34"/>
      <c r="T24" s="14"/>
      <c r="U24" s="31"/>
      <c r="V24" s="34"/>
      <c r="W24" s="34"/>
      <c r="X24" s="14"/>
      <c r="Y24" s="31"/>
      <c r="Z24" s="34"/>
      <c r="AA24" s="34"/>
      <c r="AB24" s="14"/>
      <c r="AC24" s="31"/>
      <c r="AD24" s="34"/>
      <c r="AE24" s="34"/>
      <c r="AF24" s="14"/>
      <c r="AG24" s="31"/>
      <c r="AI24" s="45"/>
    </row>
    <row r="25" spans="1:38" x14ac:dyDescent="0.3">
      <c r="A25">
        <v>19</v>
      </c>
      <c r="B25" s="34" vm="40">
        <f ca="1"/>
        <v>44774</v>
      </c>
      <c r="C25" s="34" vm="41">
        <f ca="1"/>
        <v>54.48</v>
      </c>
      <c r="D25" s="14">
        <f t="shared" ca="1" si="0"/>
        <v>9.9717400080742785E-2</v>
      </c>
      <c r="E25" s="31"/>
      <c r="F25" s="34"/>
      <c r="G25" s="34"/>
      <c r="H25" s="14"/>
      <c r="I25" s="31"/>
      <c r="J25" s="34"/>
      <c r="K25" s="34"/>
      <c r="L25" s="14"/>
      <c r="M25" s="31"/>
      <c r="N25" s="34"/>
      <c r="O25" s="34"/>
      <c r="P25" s="14"/>
      <c r="Q25" s="31"/>
      <c r="R25" s="34"/>
      <c r="S25" s="34"/>
      <c r="T25" s="14"/>
      <c r="U25" s="31"/>
      <c r="V25" s="34"/>
      <c r="W25" s="34"/>
      <c r="X25" s="14"/>
      <c r="Y25" s="31"/>
      <c r="Z25" s="34"/>
      <c r="AA25" s="34"/>
      <c r="AB25" s="14"/>
      <c r="AC25" s="31"/>
      <c r="AD25" s="34"/>
      <c r="AE25" s="34"/>
      <c r="AF25" s="14"/>
      <c r="AG25" s="31"/>
      <c r="AI25" s="45"/>
    </row>
    <row r="26" spans="1:38" x14ac:dyDescent="0.3">
      <c r="A26">
        <v>20</v>
      </c>
      <c r="B26" s="34" vm="42">
        <f ca="1"/>
        <v>44805</v>
      </c>
      <c r="C26" s="34" vm="43">
        <f ca="1"/>
        <v>50.19</v>
      </c>
      <c r="D26" s="14">
        <f t="shared" ca="1" si="0"/>
        <v>-7.8744493392070472E-2</v>
      </c>
      <c r="E26" s="31"/>
      <c r="F26" s="34"/>
      <c r="G26" s="34"/>
      <c r="H26" s="14"/>
      <c r="I26" s="31"/>
      <c r="J26" s="34"/>
      <c r="K26" s="34"/>
      <c r="L26" s="14"/>
      <c r="M26" s="31"/>
      <c r="N26" s="34"/>
      <c r="O26" s="34"/>
      <c r="P26" s="14"/>
      <c r="Q26" s="31"/>
      <c r="R26" s="34"/>
      <c r="S26" s="34"/>
      <c r="T26" s="14"/>
      <c r="U26" s="31"/>
      <c r="V26" s="34"/>
      <c r="W26" s="34"/>
      <c r="X26" s="14"/>
      <c r="Y26" s="31"/>
      <c r="Z26" s="34"/>
      <c r="AA26" s="34"/>
      <c r="AB26" s="14"/>
      <c r="AC26" s="31"/>
      <c r="AD26" s="34"/>
      <c r="AE26" s="34"/>
      <c r="AF26" s="14"/>
      <c r="AG26" s="31"/>
    </row>
    <row r="27" spans="1:38" x14ac:dyDescent="0.3">
      <c r="A27">
        <v>21</v>
      </c>
      <c r="B27" s="34" vm="44">
        <f ca="1"/>
        <v>44835</v>
      </c>
      <c r="C27" s="34" vm="45">
        <f ca="1"/>
        <v>55.82</v>
      </c>
      <c r="D27" s="14">
        <f t="shared" ca="1" si="0"/>
        <v>0.1121737397888026</v>
      </c>
      <c r="E27" s="31"/>
      <c r="F27" s="34"/>
      <c r="G27" s="34"/>
      <c r="H27" s="14"/>
      <c r="I27" s="31"/>
      <c r="J27" s="34"/>
      <c r="K27" s="34"/>
      <c r="L27" s="14"/>
      <c r="M27" s="31"/>
      <c r="N27" s="34"/>
      <c r="O27" s="34"/>
      <c r="P27" s="14"/>
      <c r="Q27" s="31"/>
      <c r="R27" s="34"/>
      <c r="S27" s="34"/>
      <c r="T27" s="14"/>
      <c r="U27" s="31"/>
      <c r="V27" s="34"/>
      <c r="W27" s="34"/>
      <c r="X27" s="14"/>
      <c r="Y27" s="31"/>
      <c r="Z27" s="34"/>
      <c r="AA27" s="34"/>
      <c r="AB27" s="14"/>
      <c r="AC27" s="31"/>
      <c r="AD27" s="34"/>
      <c r="AE27" s="34"/>
      <c r="AF27" s="14"/>
      <c r="AG27" s="31"/>
    </row>
    <row r="28" spans="1:38" x14ac:dyDescent="0.3">
      <c r="A28">
        <v>22</v>
      </c>
      <c r="B28" s="34" vm="46">
        <f ca="1"/>
        <v>44866</v>
      </c>
      <c r="C28" s="34" vm="47">
        <f ca="1"/>
        <v>59.44</v>
      </c>
      <c r="D28" s="14">
        <f t="shared" ca="1" si="0"/>
        <v>6.4851307774990999E-2</v>
      </c>
      <c r="E28" s="31"/>
      <c r="F28" s="34"/>
      <c r="G28" s="34"/>
      <c r="H28" s="14"/>
      <c r="I28" s="31"/>
      <c r="J28" s="34"/>
      <c r="K28" s="34"/>
      <c r="L28" s="14"/>
      <c r="M28" s="31"/>
      <c r="N28" s="34"/>
      <c r="O28" s="34"/>
      <c r="P28" s="14"/>
      <c r="Q28" s="31"/>
      <c r="R28" s="34"/>
      <c r="S28" s="34"/>
      <c r="T28" s="14"/>
      <c r="U28" s="31"/>
      <c r="V28" s="34"/>
      <c r="W28" s="34"/>
      <c r="X28" s="14"/>
      <c r="Y28" s="31"/>
      <c r="Z28" s="34"/>
      <c r="AA28" s="34"/>
      <c r="AB28" s="14"/>
      <c r="AC28" s="31"/>
      <c r="AD28" s="34"/>
      <c r="AE28" s="34"/>
      <c r="AF28" s="14"/>
      <c r="AG28" s="31"/>
    </row>
    <row r="29" spans="1:38" x14ac:dyDescent="0.3">
      <c r="A29">
        <v>23</v>
      </c>
      <c r="B29" s="34" vm="48">
        <f ca="1"/>
        <v>44896</v>
      </c>
      <c r="C29" s="34" vm="49">
        <f ca="1"/>
        <v>55.26</v>
      </c>
      <c r="D29" s="14">
        <f t="shared" ca="1" si="0"/>
        <v>-7.0323014804845221E-2</v>
      </c>
      <c r="E29" s="31"/>
      <c r="F29" s="34"/>
      <c r="G29" s="34"/>
      <c r="H29" s="14"/>
      <c r="I29" s="31"/>
      <c r="J29" s="34"/>
      <c r="K29" s="34"/>
      <c r="L29" s="14"/>
      <c r="M29" s="31"/>
      <c r="N29" s="34"/>
      <c r="O29" s="34"/>
      <c r="P29" s="14"/>
      <c r="Q29" s="31"/>
      <c r="R29" s="34"/>
      <c r="S29" s="34"/>
      <c r="T29" s="14"/>
      <c r="U29" s="31"/>
      <c r="V29" s="34"/>
      <c r="W29" s="34"/>
      <c r="X29" s="14"/>
      <c r="Y29" s="31"/>
      <c r="Z29" s="34"/>
      <c r="AA29" s="34"/>
      <c r="AB29" s="14"/>
      <c r="AC29" s="31"/>
      <c r="AD29" s="34"/>
      <c r="AE29" s="34"/>
      <c r="AF29" s="14"/>
      <c r="AG29" s="31"/>
    </row>
    <row r="30" spans="1:38" x14ac:dyDescent="0.3">
      <c r="A30">
        <v>24</v>
      </c>
      <c r="B30" s="34" vm="50">
        <f ca="1"/>
        <v>44927</v>
      </c>
      <c r="C30" s="34" vm="51">
        <f ca="1"/>
        <v>66.849999999999994</v>
      </c>
      <c r="D30" s="14">
        <f t="shared" ca="1" si="0"/>
        <v>0.20973579442634813</v>
      </c>
      <c r="E30" s="31"/>
      <c r="F30" s="34"/>
      <c r="G30" s="34"/>
      <c r="H30" s="14"/>
      <c r="I30" s="31"/>
      <c r="J30" s="34"/>
      <c r="K30" s="34"/>
      <c r="L30" s="14"/>
      <c r="M30" s="31"/>
      <c r="N30" s="34"/>
      <c r="O30" s="34"/>
      <c r="P30" s="14"/>
      <c r="Q30" s="31"/>
      <c r="R30" s="34"/>
      <c r="S30" s="34"/>
      <c r="T30" s="14"/>
      <c r="U30" s="31"/>
      <c r="V30" s="34"/>
      <c r="W30" s="34"/>
      <c r="X30" s="14"/>
      <c r="Y30" s="31"/>
      <c r="Z30" s="34"/>
      <c r="AA30" s="34"/>
      <c r="AB30" s="14"/>
      <c r="AC30" s="31"/>
      <c r="AD30" s="34"/>
      <c r="AE30" s="34"/>
      <c r="AF30" s="14"/>
      <c r="AG30" s="31"/>
    </row>
    <row r="31" spans="1:38" x14ac:dyDescent="0.3">
      <c r="A31">
        <v>25</v>
      </c>
      <c r="B31" s="34" vm="52">
        <f ca="1"/>
        <v>44958</v>
      </c>
      <c r="C31" s="34" vm="53">
        <f ca="1"/>
        <v>61.01</v>
      </c>
      <c r="D31" s="14">
        <f t="shared" ca="1" si="0"/>
        <v>-8.7359760658189928E-2</v>
      </c>
      <c r="E31" s="31"/>
      <c r="F31" s="34"/>
      <c r="G31" s="34"/>
      <c r="H31" s="14"/>
      <c r="I31" s="31"/>
      <c r="J31" s="34"/>
      <c r="K31" s="34"/>
      <c r="L31" s="14"/>
      <c r="M31" s="31"/>
      <c r="N31" s="34"/>
      <c r="O31" s="34"/>
      <c r="P31" s="14"/>
      <c r="Q31" s="31"/>
      <c r="R31" s="34"/>
      <c r="S31" s="34"/>
      <c r="T31" s="14"/>
      <c r="U31" s="31"/>
      <c r="V31" s="34"/>
      <c r="W31" s="34"/>
      <c r="X31" s="14"/>
      <c r="Y31" s="31"/>
      <c r="Z31" s="34"/>
      <c r="AA31" s="34"/>
      <c r="AB31" s="14"/>
      <c r="AC31" s="31"/>
      <c r="AD31" s="34"/>
      <c r="AE31" s="34"/>
      <c r="AF31" s="14"/>
      <c r="AG31" s="31"/>
    </row>
    <row r="32" spans="1:38" x14ac:dyDescent="0.3">
      <c r="A32">
        <v>26</v>
      </c>
      <c r="B32" s="34" vm="54">
        <f ca="1"/>
        <v>44986</v>
      </c>
      <c r="C32" s="34" vm="55">
        <f ca="1"/>
        <v>63.87</v>
      </c>
      <c r="D32" s="14">
        <f t="shared" ca="1" si="0"/>
        <v>4.6877561055564655E-2</v>
      </c>
      <c r="E32" s="31"/>
      <c r="F32" s="34"/>
      <c r="G32" s="34"/>
      <c r="H32" s="14"/>
      <c r="I32" s="31"/>
      <c r="J32" s="34"/>
      <c r="K32" s="34"/>
      <c r="L32" s="14"/>
      <c r="M32" s="31"/>
      <c r="N32" s="34"/>
      <c r="O32" s="34"/>
      <c r="P32" s="14"/>
      <c r="Q32" s="31"/>
      <c r="R32" s="34"/>
      <c r="S32" s="34"/>
      <c r="T32" s="14"/>
      <c r="U32" s="31"/>
      <c r="V32" s="34"/>
      <c r="W32" s="34"/>
      <c r="X32" s="14"/>
      <c r="Y32" s="31"/>
      <c r="Z32" s="34"/>
      <c r="AA32" s="34"/>
      <c r="AB32" s="14"/>
      <c r="AC32" s="31"/>
      <c r="AD32" s="34"/>
      <c r="AE32" s="34"/>
      <c r="AF32" s="14"/>
      <c r="AG32" s="31"/>
    </row>
    <row r="33" spans="1:33" x14ac:dyDescent="0.3">
      <c r="A33">
        <v>27</v>
      </c>
      <c r="B33" s="34" vm="56">
        <f ca="1"/>
        <v>45017</v>
      </c>
      <c r="C33" s="34" vm="57">
        <f ca="1"/>
        <v>61.44</v>
      </c>
      <c r="D33" s="14">
        <f t="shared" ca="1" si="0"/>
        <v>-3.8046031000469702E-2</v>
      </c>
      <c r="E33" s="31"/>
      <c r="F33" s="34"/>
      <c r="G33" s="34"/>
      <c r="H33" s="14"/>
      <c r="I33" s="31"/>
      <c r="J33" s="34"/>
      <c r="K33" s="34"/>
      <c r="L33" s="14"/>
      <c r="M33" s="31"/>
      <c r="N33" s="34"/>
      <c r="O33" s="34"/>
      <c r="P33" s="14"/>
      <c r="Q33" s="31"/>
      <c r="R33" s="34"/>
      <c r="S33" s="34"/>
      <c r="T33" s="14"/>
      <c r="U33" s="31"/>
      <c r="V33" s="34"/>
      <c r="W33" s="34"/>
      <c r="X33" s="14"/>
      <c r="Y33" s="31"/>
      <c r="Z33" s="34"/>
      <c r="AA33" s="34"/>
      <c r="AB33" s="14"/>
      <c r="AC33" s="31"/>
      <c r="AD33" s="34"/>
      <c r="AE33" s="34"/>
      <c r="AF33" s="14"/>
      <c r="AG33" s="31"/>
    </row>
    <row r="34" spans="1:33" x14ac:dyDescent="0.3">
      <c r="A34">
        <v>28</v>
      </c>
      <c r="B34" s="34" vm="58">
        <f ca="1"/>
        <v>45047</v>
      </c>
      <c r="C34" s="34" vm="59">
        <f ca="1"/>
        <v>59.35</v>
      </c>
      <c r="D34" s="14">
        <f t="shared" ca="1" si="0"/>
        <v>-3.4016927083333273E-2</v>
      </c>
      <c r="E34" s="31"/>
      <c r="F34" s="34"/>
      <c r="G34" s="34"/>
      <c r="H34" s="14"/>
      <c r="I34" s="31"/>
      <c r="J34" s="34"/>
      <c r="K34" s="34"/>
      <c r="L34" s="14"/>
      <c r="M34" s="31"/>
      <c r="N34" s="34"/>
      <c r="O34" s="34"/>
      <c r="P34" s="14"/>
      <c r="Q34" s="31"/>
      <c r="R34" s="34"/>
      <c r="S34" s="34"/>
      <c r="T34" s="14"/>
      <c r="U34" s="31"/>
      <c r="V34" s="34"/>
      <c r="W34" s="34"/>
      <c r="X34" s="14"/>
      <c r="Y34" s="31"/>
      <c r="Z34" s="34"/>
      <c r="AA34" s="34"/>
      <c r="AB34" s="14"/>
      <c r="AC34" s="31"/>
      <c r="AD34" s="34"/>
      <c r="AE34" s="34"/>
      <c r="AF34" s="14"/>
      <c r="AG34" s="31"/>
    </row>
    <row r="35" spans="1:33" x14ac:dyDescent="0.3">
      <c r="A35">
        <v>29</v>
      </c>
      <c r="B35" s="34" vm="60">
        <f ca="1"/>
        <v>45078</v>
      </c>
      <c r="C35" s="34" vm="61">
        <f ca="1"/>
        <v>65.64</v>
      </c>
      <c r="D35" s="14">
        <f t="shared" ca="1" si="0"/>
        <v>0.10598146588037066</v>
      </c>
      <c r="E35" s="31"/>
      <c r="F35" s="34"/>
      <c r="G35" s="34"/>
      <c r="H35" s="14"/>
      <c r="I35" s="31"/>
      <c r="J35" s="34"/>
      <c r="K35" s="34"/>
      <c r="L35" s="14"/>
      <c r="M35" s="31"/>
      <c r="N35" s="34"/>
      <c r="O35" s="34"/>
      <c r="P35" s="14"/>
      <c r="Q35" s="31"/>
      <c r="R35" s="34"/>
      <c r="S35" s="34"/>
      <c r="T35" s="14"/>
      <c r="U35" s="31"/>
      <c r="V35" s="34"/>
      <c r="W35" s="34"/>
      <c r="X35" s="14"/>
      <c r="Y35" s="31"/>
      <c r="Z35" s="34"/>
      <c r="AA35" s="34"/>
      <c r="AB35" s="14"/>
      <c r="AC35" s="31"/>
      <c r="AD35" s="34"/>
      <c r="AE35" s="34"/>
      <c r="AF35" s="14"/>
      <c r="AG35" s="31"/>
    </row>
    <row r="36" spans="1:33" x14ac:dyDescent="0.3">
      <c r="A36">
        <v>30</v>
      </c>
      <c r="B36" s="34" vm="62">
        <f ca="1"/>
        <v>45108</v>
      </c>
      <c r="C36" s="34" vm="63">
        <f ca="1"/>
        <v>68.790000000000006</v>
      </c>
      <c r="D36" s="14">
        <f t="shared" ca="1" si="0"/>
        <v>4.7989031078610689E-2</v>
      </c>
      <c r="E36" s="31"/>
      <c r="F36" s="34"/>
      <c r="G36" s="34"/>
      <c r="H36" s="14"/>
      <c r="I36" s="31"/>
      <c r="J36" s="34"/>
      <c r="K36" s="34"/>
      <c r="L36" s="14"/>
      <c r="M36" s="31"/>
      <c r="N36" s="34"/>
      <c r="O36" s="34"/>
      <c r="P36" s="14"/>
      <c r="Q36" s="31"/>
      <c r="R36" s="34"/>
      <c r="S36" s="34"/>
      <c r="T36" s="14"/>
      <c r="U36" s="31"/>
      <c r="V36" s="34"/>
      <c r="W36" s="34"/>
      <c r="X36" s="14"/>
      <c r="Y36" s="31"/>
      <c r="Z36" s="34"/>
      <c r="AA36" s="34"/>
      <c r="AB36" s="14"/>
      <c r="AC36" s="31"/>
      <c r="AD36" s="34"/>
      <c r="AE36" s="34"/>
      <c r="AF36" s="14"/>
      <c r="AG36" s="31"/>
    </row>
    <row r="37" spans="1:33" x14ac:dyDescent="0.3">
      <c r="A37">
        <v>31</v>
      </c>
      <c r="B37" s="34" vm="64">
        <f ca="1"/>
        <v>45139</v>
      </c>
      <c r="C37" s="34" vm="65">
        <f ca="1"/>
        <v>73.319999999999993</v>
      </c>
      <c r="D37" s="14">
        <f t="shared" ca="1" si="0"/>
        <v>6.585259485390299E-2</v>
      </c>
      <c r="E37" s="31"/>
      <c r="F37" s="34"/>
      <c r="G37" s="34"/>
      <c r="H37" s="14"/>
      <c r="I37" s="31"/>
      <c r="J37" s="34"/>
      <c r="K37" s="34"/>
      <c r="L37" s="14"/>
      <c r="M37" s="31"/>
      <c r="N37" s="34"/>
      <c r="O37" s="34"/>
      <c r="P37" s="14"/>
      <c r="Q37" s="31"/>
      <c r="R37" s="34"/>
      <c r="S37" s="34"/>
      <c r="T37" s="14"/>
      <c r="U37" s="31"/>
      <c r="V37" s="34"/>
      <c r="W37" s="34"/>
      <c r="X37" s="14"/>
      <c r="Y37" s="31"/>
      <c r="Z37" s="34"/>
      <c r="AA37" s="34"/>
      <c r="AB37" s="14"/>
      <c r="AC37" s="31"/>
      <c r="AD37" s="34"/>
      <c r="AE37" s="34"/>
      <c r="AF37" s="14"/>
      <c r="AG37" s="31"/>
    </row>
    <row r="38" spans="1:33" x14ac:dyDescent="0.3">
      <c r="A38">
        <v>32</v>
      </c>
      <c r="B38" s="34" vm="66">
        <f ca="1"/>
        <v>45170</v>
      </c>
      <c r="C38" s="34" vm="67">
        <f ca="1"/>
        <v>83.39</v>
      </c>
      <c r="D38" s="14">
        <f t="shared" ca="1" si="0"/>
        <v>0.13734315330060023</v>
      </c>
      <c r="E38" s="31"/>
      <c r="F38" s="34"/>
      <c r="G38" s="34"/>
      <c r="H38" s="14"/>
      <c r="I38" s="31"/>
      <c r="J38" s="34"/>
      <c r="K38" s="34"/>
      <c r="L38" s="14"/>
      <c r="M38" s="31"/>
      <c r="N38" s="34"/>
      <c r="O38" s="34"/>
      <c r="P38" s="14"/>
      <c r="Q38" s="31"/>
      <c r="R38" s="34"/>
      <c r="S38" s="34"/>
      <c r="T38" s="14"/>
      <c r="U38" s="31"/>
      <c r="V38" s="34"/>
      <c r="W38" s="34"/>
      <c r="X38" s="14"/>
      <c r="Y38" s="31"/>
      <c r="Z38" s="34"/>
      <c r="AA38" s="34"/>
      <c r="AB38" s="14"/>
      <c r="AC38" s="31"/>
      <c r="AD38" s="34"/>
      <c r="AE38" s="34"/>
      <c r="AF38" s="14"/>
      <c r="AG38" s="31"/>
    </row>
    <row r="39" spans="1:33" x14ac:dyDescent="0.3">
      <c r="A39">
        <v>33</v>
      </c>
      <c r="B39" s="34" vm="68">
        <f ca="1"/>
        <v>45200</v>
      </c>
      <c r="C39" s="34" vm="69">
        <f ca="1"/>
        <v>74.540000000000006</v>
      </c>
      <c r="D39" s="14">
        <f t="shared" ca="1" si="0"/>
        <v>-0.10612783307350994</v>
      </c>
      <c r="E39" s="31"/>
      <c r="F39" s="34"/>
      <c r="G39" s="34"/>
      <c r="H39" s="14"/>
      <c r="I39" s="31"/>
      <c r="J39" s="34"/>
      <c r="K39" s="34"/>
      <c r="L39" s="14"/>
      <c r="M39" s="31"/>
      <c r="N39" s="34"/>
      <c r="O39" s="34"/>
      <c r="P39" s="14"/>
      <c r="Q39" s="31"/>
      <c r="R39" s="34"/>
      <c r="S39" s="34"/>
      <c r="T39" s="14"/>
      <c r="U39" s="31"/>
      <c r="V39" s="34"/>
      <c r="W39" s="34"/>
      <c r="X39" s="14"/>
      <c r="Y39" s="31"/>
      <c r="Z39" s="34"/>
      <c r="AA39" s="34"/>
      <c r="AB39" s="14"/>
      <c r="AC39" s="31"/>
      <c r="AD39" s="34"/>
      <c r="AE39" s="34"/>
      <c r="AF39" s="14"/>
      <c r="AG39" s="31"/>
    </row>
    <row r="40" spans="1:33" x14ac:dyDescent="0.3">
      <c r="A40">
        <v>34</v>
      </c>
      <c r="B40" s="34" vm="70">
        <f ca="1"/>
        <v>45231</v>
      </c>
      <c r="C40" s="34" vm="71">
        <f ca="1"/>
        <v>88.41</v>
      </c>
      <c r="D40" s="14">
        <f t="shared" ca="1" si="0"/>
        <v>0.18607459082371866</v>
      </c>
      <c r="E40" s="31"/>
      <c r="F40" s="34"/>
      <c r="G40" s="34"/>
      <c r="H40" s="14"/>
      <c r="I40" s="31"/>
      <c r="J40" s="34"/>
      <c r="K40" s="34"/>
      <c r="L40" s="14"/>
      <c r="M40" s="31"/>
      <c r="N40" s="34"/>
      <c r="O40" s="34"/>
      <c r="P40" s="14"/>
      <c r="Q40" s="31"/>
      <c r="R40" s="34"/>
      <c r="S40" s="34"/>
      <c r="T40" s="14"/>
      <c r="U40" s="31"/>
      <c r="V40" s="34"/>
      <c r="W40" s="34"/>
      <c r="X40" s="14"/>
      <c r="Y40" s="31"/>
      <c r="Z40" s="34"/>
      <c r="AA40" s="34"/>
      <c r="AB40" s="14"/>
      <c r="AC40" s="31"/>
      <c r="AD40" s="34"/>
      <c r="AE40" s="34"/>
      <c r="AF40" s="14"/>
      <c r="AG40" s="31"/>
    </row>
    <row r="41" spans="1:33" x14ac:dyDescent="0.3">
      <c r="A41">
        <v>35</v>
      </c>
      <c r="B41" s="34" vm="72">
        <f ca="1"/>
        <v>45261</v>
      </c>
      <c r="C41" s="34" vm="73">
        <f ca="1"/>
        <v>95.83</v>
      </c>
      <c r="D41" s="14">
        <f t="shared" ca="1" si="0"/>
        <v>8.3927157561361862E-2</v>
      </c>
      <c r="E41" s="31"/>
      <c r="F41" s="34"/>
      <c r="G41" s="34"/>
      <c r="H41" s="14"/>
      <c r="I41" s="31"/>
      <c r="J41" s="34"/>
      <c r="K41" s="34"/>
      <c r="L41" s="14"/>
      <c r="M41" s="31"/>
      <c r="N41" s="34"/>
      <c r="O41" s="34"/>
      <c r="P41" s="14"/>
      <c r="Q41" s="31"/>
      <c r="R41" s="34"/>
      <c r="S41" s="34"/>
      <c r="T41" s="14"/>
      <c r="U41" s="31"/>
      <c r="V41" s="34"/>
      <c r="W41" s="34"/>
      <c r="X41" s="14"/>
      <c r="Y41" s="31"/>
      <c r="Z41" s="34"/>
      <c r="AA41" s="34"/>
      <c r="AB41" s="14"/>
      <c r="AC41" s="31"/>
      <c r="AD41" s="34"/>
      <c r="AE41" s="34"/>
      <c r="AF41" s="14"/>
      <c r="AG41" s="31"/>
    </row>
    <row r="42" spans="1:33" x14ac:dyDescent="0.3">
      <c r="A42">
        <v>36</v>
      </c>
      <c r="B42" s="34" vm="74">
        <f ca="1"/>
        <v>45292</v>
      </c>
      <c r="C42" s="34" vm="75">
        <f ca="1"/>
        <v>101.56</v>
      </c>
      <c r="D42" s="14">
        <f t="shared" ca="1" si="0"/>
        <v>5.9793384117708487E-2</v>
      </c>
      <c r="E42" s="31"/>
      <c r="F42" s="34"/>
      <c r="G42" s="34"/>
      <c r="H42" s="14"/>
      <c r="I42" s="31"/>
      <c r="J42" s="34"/>
      <c r="K42" s="34"/>
      <c r="L42" s="14"/>
      <c r="M42" s="31"/>
      <c r="N42" s="34"/>
      <c r="O42" s="34"/>
      <c r="P42" s="14"/>
      <c r="Q42" s="31"/>
      <c r="R42" s="34"/>
      <c r="S42" s="34"/>
      <c r="T42" s="14"/>
      <c r="U42" s="31"/>
      <c r="V42" s="34"/>
      <c r="W42" s="34"/>
      <c r="X42" s="14"/>
      <c r="Y42" s="31"/>
      <c r="Z42" s="34"/>
      <c r="AA42" s="34"/>
      <c r="AB42" s="14"/>
      <c r="AC42" s="31"/>
      <c r="AD42" s="34"/>
      <c r="AE42" s="34"/>
      <c r="AF42" s="14"/>
      <c r="AG42" s="31"/>
    </row>
    <row r="43" spans="1:33" x14ac:dyDescent="0.3">
      <c r="A43">
        <v>37</v>
      </c>
      <c r="B43" s="34" vm="76">
        <f ca="1"/>
        <v>45323</v>
      </c>
      <c r="C43" s="34" vm="77">
        <f ca="1"/>
        <v>103.82</v>
      </c>
      <c r="D43" s="14">
        <f t="shared" ca="1" si="0"/>
        <v>2.2252855454903415E-2</v>
      </c>
      <c r="E43" s="31"/>
      <c r="F43" s="34"/>
      <c r="G43" s="34"/>
      <c r="H43" s="14"/>
      <c r="I43" s="31"/>
      <c r="J43" s="34"/>
      <c r="K43" s="34"/>
      <c r="L43" s="14"/>
      <c r="M43" s="31"/>
      <c r="N43" s="34"/>
      <c r="O43" s="34"/>
      <c r="P43" s="14"/>
      <c r="Q43" s="31"/>
      <c r="R43" s="34"/>
      <c r="S43" s="34"/>
      <c r="T43" s="14"/>
      <c r="U43" s="31"/>
      <c r="V43" s="34"/>
      <c r="W43" s="34"/>
      <c r="X43" s="14"/>
      <c r="Y43" s="31"/>
      <c r="Z43" s="34"/>
      <c r="AA43" s="34"/>
      <c r="AB43" s="14"/>
      <c r="AC43" s="31"/>
      <c r="AD43" s="34"/>
      <c r="AE43" s="34"/>
      <c r="AF43" s="14"/>
      <c r="AG43" s="31"/>
    </row>
    <row r="44" spans="1:33" x14ac:dyDescent="0.3">
      <c r="A44">
        <v>38</v>
      </c>
      <c r="B44" s="34" vm="78">
        <f ca="1"/>
        <v>45352</v>
      </c>
      <c r="C44" s="34" vm="79">
        <f ca="1"/>
        <v>103.75</v>
      </c>
      <c r="D44" s="14">
        <f t="shared" ca="1" si="0"/>
        <v>-6.7424388364470411E-4</v>
      </c>
      <c r="E44" s="31"/>
      <c r="F44" s="34"/>
      <c r="G44" s="34"/>
      <c r="H44" s="14"/>
      <c r="I44" s="31"/>
      <c r="J44" s="34"/>
      <c r="K44" s="34"/>
      <c r="L44" s="14"/>
      <c r="M44" s="31"/>
      <c r="N44" s="34"/>
      <c r="O44" s="34"/>
      <c r="P44" s="14"/>
      <c r="Q44" s="31"/>
      <c r="R44" s="34"/>
      <c r="S44" s="34"/>
      <c r="T44" s="14"/>
      <c r="U44" s="31"/>
      <c r="V44" s="34"/>
      <c r="W44" s="34"/>
      <c r="X44" s="14"/>
      <c r="Y44" s="31"/>
      <c r="Z44" s="34"/>
      <c r="AA44" s="34"/>
      <c r="AB44" s="14"/>
      <c r="AC44" s="31"/>
      <c r="AD44" s="34"/>
      <c r="AE44" s="34"/>
      <c r="AF44" s="14"/>
      <c r="AG44" s="31"/>
    </row>
    <row r="45" spans="1:33" x14ac:dyDescent="0.3">
      <c r="A45">
        <v>39</v>
      </c>
      <c r="B45" s="34" vm="80">
        <f ca="1"/>
        <v>45383</v>
      </c>
      <c r="C45" s="34" vm="81">
        <f ca="1"/>
        <v>111.41</v>
      </c>
      <c r="D45" s="14">
        <f t="shared" ca="1" si="0"/>
        <v>7.3831325301204787E-2</v>
      </c>
      <c r="E45" s="31"/>
      <c r="F45" s="34"/>
      <c r="G45" s="34"/>
      <c r="H45" s="14"/>
      <c r="I45" s="31"/>
      <c r="J45" s="34"/>
      <c r="K45" s="34"/>
      <c r="L45" s="14"/>
      <c r="M45" s="31"/>
      <c r="N45" s="34"/>
      <c r="O45" s="34"/>
      <c r="P45" s="14"/>
      <c r="Q45" s="31"/>
      <c r="R45" s="34"/>
      <c r="S45" s="34"/>
      <c r="T45" s="14"/>
      <c r="U45" s="31"/>
      <c r="V45" s="34"/>
      <c r="W45" s="34"/>
      <c r="X45" s="14"/>
      <c r="Y45" s="31"/>
      <c r="Z45" s="34"/>
      <c r="AA45" s="34"/>
      <c r="AB45" s="14"/>
      <c r="AC45" s="31"/>
      <c r="AD45" s="34"/>
      <c r="AE45" s="34"/>
      <c r="AF45" s="14"/>
      <c r="AG45" s="31"/>
    </row>
    <row r="46" spans="1:33" x14ac:dyDescent="0.3">
      <c r="A46">
        <v>40</v>
      </c>
      <c r="B46" s="34" vm="82">
        <f ca="1"/>
        <v>45413</v>
      </c>
      <c r="C46" s="34" vm="83">
        <f ca="1"/>
        <v>120.12</v>
      </c>
      <c r="D46" s="14">
        <f t="shared" ca="1" si="0"/>
        <v>7.8179696616102759E-2</v>
      </c>
      <c r="E46" s="31"/>
      <c r="F46" s="34"/>
      <c r="G46" s="34"/>
      <c r="H46" s="14"/>
      <c r="I46" s="31"/>
      <c r="J46" s="34"/>
      <c r="K46" s="34"/>
      <c r="L46" s="14"/>
      <c r="M46" s="31"/>
      <c r="N46" s="34"/>
      <c r="O46" s="34"/>
      <c r="P46" s="14"/>
      <c r="Q46" s="31"/>
      <c r="R46" s="34"/>
      <c r="S46" s="34"/>
      <c r="T46" s="14"/>
      <c r="U46" s="31"/>
      <c r="V46" s="34"/>
      <c r="W46" s="34"/>
      <c r="X46" s="14"/>
      <c r="Y46" s="31"/>
      <c r="Z46" s="34"/>
      <c r="AA46" s="34"/>
      <c r="AB46" s="14"/>
      <c r="AC46" s="31"/>
      <c r="AD46" s="34"/>
      <c r="AE46" s="34"/>
      <c r="AF46" s="14"/>
      <c r="AG46" s="31"/>
    </row>
    <row r="47" spans="1:33" x14ac:dyDescent="0.3">
      <c r="A47">
        <v>41</v>
      </c>
      <c r="B47" s="34" vm="84">
        <f ca="1"/>
        <v>45444</v>
      </c>
      <c r="C47" s="34" vm="85">
        <f ca="1"/>
        <v>143.26</v>
      </c>
      <c r="D47" s="14">
        <f t="shared" ca="1" si="0"/>
        <v>0.19264069264069253</v>
      </c>
      <c r="E47" s="31"/>
      <c r="F47" s="34"/>
      <c r="G47" s="34"/>
      <c r="H47" s="14"/>
      <c r="I47" s="31"/>
      <c r="J47" s="34"/>
      <c r="K47" s="34"/>
      <c r="L47" s="14"/>
      <c r="M47" s="31"/>
      <c r="N47" s="34"/>
      <c r="O47" s="34"/>
      <c r="P47" s="14"/>
      <c r="Q47" s="31"/>
      <c r="R47" s="34"/>
      <c r="S47" s="34"/>
      <c r="T47" s="14"/>
      <c r="U47" s="31"/>
      <c r="V47" s="34"/>
      <c r="W47" s="34"/>
      <c r="X47" s="14"/>
      <c r="Y47" s="31"/>
      <c r="Z47" s="34"/>
      <c r="AA47" s="34"/>
      <c r="AB47" s="14"/>
      <c r="AC47" s="31"/>
      <c r="AD47" s="34"/>
      <c r="AE47" s="34"/>
      <c r="AF47" s="14"/>
      <c r="AG47" s="31"/>
    </row>
    <row r="48" spans="1:33" x14ac:dyDescent="0.3">
      <c r="A48">
        <v>42</v>
      </c>
      <c r="B48" s="34" vm="86">
        <f ca="1"/>
        <v>45474</v>
      </c>
      <c r="C48" s="34" vm="87">
        <f ca="1"/>
        <v>143.76</v>
      </c>
      <c r="D48" s="14">
        <f t="shared" ca="1" si="0"/>
        <v>3.4901577551305321E-3</v>
      </c>
      <c r="E48" s="31"/>
      <c r="F48" s="34"/>
      <c r="G48" s="34"/>
      <c r="H48" s="14"/>
      <c r="I48" s="31"/>
      <c r="J48" s="34"/>
      <c r="K48" s="34"/>
      <c r="L48" s="14"/>
      <c r="M48" s="31"/>
      <c r="N48" s="34"/>
      <c r="O48" s="34"/>
      <c r="P48" s="14"/>
      <c r="Q48" s="31"/>
      <c r="R48" s="34"/>
      <c r="S48" s="34"/>
      <c r="T48" s="14"/>
      <c r="U48" s="31"/>
      <c r="V48" s="34"/>
      <c r="W48" s="34"/>
      <c r="X48" s="14"/>
      <c r="Y48" s="31"/>
      <c r="Z48" s="34"/>
      <c r="AA48" s="34"/>
      <c r="AB48" s="14"/>
      <c r="AC48" s="31"/>
      <c r="AD48" s="34"/>
      <c r="AE48" s="34"/>
      <c r="AF48" s="14"/>
      <c r="AG48" s="31"/>
    </row>
    <row r="49" spans="1:33" x14ac:dyDescent="0.3">
      <c r="A49">
        <v>43</v>
      </c>
      <c r="B49" s="34" vm="88">
        <f ca="1"/>
        <v>45505</v>
      </c>
      <c r="C49" s="34" vm="89">
        <f ca="1"/>
        <v>150.69999999999999</v>
      </c>
      <c r="D49" s="14">
        <f t="shared" ca="1" si="0"/>
        <v>4.8274902615470218E-2</v>
      </c>
      <c r="E49" s="31"/>
      <c r="F49" s="34"/>
      <c r="G49" s="34"/>
      <c r="H49" s="14"/>
      <c r="I49" s="31"/>
      <c r="J49" s="34"/>
      <c r="K49" s="34"/>
      <c r="L49" s="14"/>
      <c r="M49" s="31"/>
      <c r="N49" s="34"/>
      <c r="O49" s="34"/>
      <c r="P49" s="14"/>
      <c r="Q49" s="31"/>
      <c r="R49" s="34"/>
      <c r="S49" s="34"/>
      <c r="T49" s="14"/>
      <c r="U49" s="31"/>
      <c r="V49" s="34"/>
      <c r="W49" s="34"/>
      <c r="X49" s="14"/>
      <c r="Y49" s="31"/>
      <c r="Z49" s="34"/>
      <c r="AA49" s="34"/>
      <c r="AB49" s="14"/>
      <c r="AC49" s="31"/>
      <c r="AD49" s="34"/>
      <c r="AE49" s="34"/>
      <c r="AF49" s="14"/>
      <c r="AG49" s="31"/>
    </row>
    <row r="50" spans="1:33" x14ac:dyDescent="0.3">
      <c r="A50">
        <v>44</v>
      </c>
      <c r="B50" s="34" vm="90">
        <f ca="1"/>
        <v>45536</v>
      </c>
      <c r="C50" s="34" vm="91">
        <f ca="1"/>
        <v>178.25</v>
      </c>
      <c r="D50" s="14">
        <f t="shared" ca="1" si="0"/>
        <v>0.18281353682813545</v>
      </c>
      <c r="E50" s="31"/>
      <c r="F50" s="34"/>
      <c r="G50" s="34"/>
      <c r="H50" s="14"/>
      <c r="I50" s="31"/>
      <c r="J50" s="34"/>
      <c r="K50" s="34"/>
      <c r="L50" s="14"/>
      <c r="M50" s="31"/>
      <c r="N50" s="34"/>
      <c r="O50" s="34"/>
      <c r="P50" s="14"/>
      <c r="Q50" s="31"/>
      <c r="R50" s="34"/>
      <c r="S50" s="34"/>
      <c r="T50" s="14"/>
      <c r="U50" s="31"/>
      <c r="V50" s="34"/>
      <c r="W50" s="34"/>
      <c r="X50" s="14"/>
      <c r="Y50" s="31"/>
      <c r="Z50" s="34"/>
      <c r="AA50" s="34"/>
      <c r="AB50" s="14"/>
      <c r="AC50" s="31"/>
      <c r="AD50" s="34"/>
      <c r="AE50" s="34"/>
      <c r="AF50" s="14"/>
      <c r="AG50" s="31"/>
    </row>
    <row r="51" spans="1:33" x14ac:dyDescent="0.3">
      <c r="A51">
        <v>45</v>
      </c>
      <c r="B51" s="34" vm="92">
        <f ca="1"/>
        <v>45566</v>
      </c>
      <c r="C51" s="34" vm="93">
        <f ca="1"/>
        <v>194.83</v>
      </c>
      <c r="D51" s="14">
        <f t="shared" ca="1" si="0"/>
        <v>9.3015427769986045E-2</v>
      </c>
      <c r="E51" s="31"/>
      <c r="F51" s="34"/>
      <c r="G51" s="34"/>
      <c r="H51" s="14"/>
      <c r="I51" s="31"/>
      <c r="J51" s="34"/>
      <c r="K51" s="34"/>
      <c r="L51" s="14"/>
      <c r="M51" s="31"/>
      <c r="N51" s="34"/>
      <c r="O51" s="34"/>
      <c r="P51" s="14"/>
      <c r="Q51" s="31"/>
      <c r="R51" s="34"/>
      <c r="S51" s="34"/>
      <c r="T51" s="14"/>
      <c r="U51" s="31"/>
      <c r="V51" s="34"/>
      <c r="W51" s="34"/>
      <c r="X51" s="14"/>
      <c r="Y51" s="31"/>
      <c r="Z51" s="34"/>
      <c r="AA51" s="34"/>
      <c r="AB51" s="14"/>
      <c r="AC51" s="31"/>
      <c r="AD51" s="34"/>
      <c r="AE51" s="34"/>
      <c r="AF51" s="14"/>
      <c r="AG51" s="31"/>
    </row>
    <row r="52" spans="1:33" x14ac:dyDescent="0.3">
      <c r="A52">
        <v>46</v>
      </c>
      <c r="B52" s="34" vm="94">
        <f ca="1"/>
        <v>45597</v>
      </c>
      <c r="C52" s="34" vm="95">
        <f ca="1"/>
        <v>251.89</v>
      </c>
      <c r="D52" s="14">
        <f t="shared" ca="1" si="0"/>
        <v>0.2928707077965404</v>
      </c>
      <c r="E52" s="31"/>
      <c r="F52" s="34"/>
      <c r="G52" s="34"/>
      <c r="H52" s="14"/>
      <c r="I52" s="31"/>
      <c r="J52" s="34"/>
      <c r="K52" s="34"/>
      <c r="L52" s="14"/>
      <c r="M52" s="31"/>
      <c r="N52" s="34"/>
      <c r="O52" s="34"/>
      <c r="P52" s="14"/>
      <c r="Q52" s="31"/>
      <c r="R52" s="34"/>
      <c r="S52" s="34"/>
      <c r="T52" s="14"/>
      <c r="U52" s="31"/>
      <c r="V52" s="34"/>
      <c r="W52" s="34"/>
      <c r="X52" s="14"/>
      <c r="Y52" s="31"/>
      <c r="Z52" s="34"/>
      <c r="AA52" s="34"/>
      <c r="AB52" s="14"/>
      <c r="AC52" s="31"/>
      <c r="AD52" s="34"/>
      <c r="AE52" s="34"/>
      <c r="AF52" s="14"/>
      <c r="AG52" s="31"/>
    </row>
    <row r="53" spans="1:33" x14ac:dyDescent="0.3">
      <c r="A53">
        <v>47</v>
      </c>
      <c r="B53" s="34" vm="96">
        <f ca="1"/>
        <v>45627</v>
      </c>
      <c r="C53" s="34" vm="97">
        <f ca="1"/>
        <v>250.12</v>
      </c>
      <c r="D53" s="14">
        <f t="shared" ca="1" si="0"/>
        <v>-7.0268768113064504E-3</v>
      </c>
      <c r="E53" s="31"/>
      <c r="F53" s="34"/>
      <c r="G53" s="34"/>
      <c r="H53" s="14"/>
      <c r="I53" s="31"/>
      <c r="J53" s="34"/>
      <c r="K53" s="34"/>
      <c r="L53" s="14"/>
      <c r="M53" s="31"/>
      <c r="N53" s="34"/>
      <c r="O53" s="34"/>
      <c r="P53" s="14"/>
      <c r="Q53" s="31"/>
      <c r="R53" s="34"/>
      <c r="S53" s="34"/>
      <c r="T53" s="14"/>
      <c r="U53" s="31"/>
      <c r="V53" s="34"/>
      <c r="W53" s="34"/>
      <c r="X53" s="14"/>
      <c r="Y53" s="31"/>
      <c r="Z53" s="34"/>
      <c r="AA53" s="34"/>
      <c r="AB53" s="14"/>
      <c r="AC53" s="31"/>
      <c r="AD53" s="34"/>
      <c r="AE53" s="34"/>
      <c r="AF53" s="14"/>
      <c r="AG53" s="31"/>
    </row>
    <row r="54" spans="1:33" x14ac:dyDescent="0.3">
      <c r="A54">
        <v>48</v>
      </c>
      <c r="B54" s="34" vm="98">
        <f ca="1"/>
        <v>45658</v>
      </c>
      <c r="C54" s="34" vm="99">
        <f ca="1"/>
        <v>278.39999999999998</v>
      </c>
      <c r="D54" s="14">
        <f t="shared" ca="1" si="0"/>
        <v>0.11306572845034372</v>
      </c>
      <c r="E54" s="31"/>
      <c r="F54" s="34"/>
      <c r="G54" s="34"/>
      <c r="H54" s="14"/>
      <c r="I54" s="31"/>
      <c r="J54" s="34"/>
      <c r="K54" s="34"/>
      <c r="L54" s="14"/>
      <c r="M54" s="31"/>
      <c r="N54" s="34"/>
      <c r="O54" s="34"/>
      <c r="P54" s="14"/>
      <c r="Q54" s="31"/>
      <c r="R54" s="34"/>
      <c r="S54" s="34"/>
      <c r="T54" s="14"/>
      <c r="U54" s="31"/>
      <c r="V54" s="34"/>
      <c r="W54" s="34"/>
      <c r="X54" s="14"/>
      <c r="Y54" s="31"/>
      <c r="Z54" s="34"/>
      <c r="AA54" s="34"/>
      <c r="AB54" s="14"/>
      <c r="AC54" s="31"/>
      <c r="AD54" s="34"/>
      <c r="AE54" s="34"/>
      <c r="AF54" s="14"/>
      <c r="AG54" s="31"/>
    </row>
    <row r="55" spans="1:33" ht="26.25" customHeight="1" x14ac:dyDescent="0.3">
      <c r="B55" s="34"/>
      <c r="C55" s="34"/>
      <c r="D55" s="137">
        <f ca="1">AVERAGE(D7:D54)</f>
        <v>4.5530185933715182E-2</v>
      </c>
      <c r="G55"/>
      <c r="H55"/>
      <c r="L55" s="11" t="e">
        <f>AVERAGE(L7:L54)</f>
        <v>#DIV/0!</v>
      </c>
    </row>
    <row r="56" spans="1:33" ht="25.2" customHeight="1" x14ac:dyDescent="0.3"/>
  </sheetData>
  <sortState xmlns:xlrd2="http://schemas.microsoft.com/office/spreadsheetml/2017/richdata2" ref="AI22:AI39">
    <sortCondition ref="AI22:AI39"/>
  </sortState>
  <mergeCells count="16">
    <mergeCell ref="V4:X4"/>
    <mergeCell ref="Z4:AB4"/>
    <mergeCell ref="AD4:AF4"/>
    <mergeCell ref="AN8:AN9"/>
    <mergeCell ref="B4:D4"/>
    <mergeCell ref="F4:H4"/>
    <mergeCell ref="J4:L4"/>
    <mergeCell ref="N4:P4"/>
    <mergeCell ref="R4:T4"/>
    <mergeCell ref="AN10:AN11"/>
    <mergeCell ref="AN12:AN13"/>
    <mergeCell ref="AM6:AM7"/>
    <mergeCell ref="AM8:AM9"/>
    <mergeCell ref="AM10:AM11"/>
    <mergeCell ref="AM12:AM13"/>
    <mergeCell ref="AN6:AN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2:Y65"/>
  <sheetViews>
    <sheetView topLeftCell="A37" workbookViewId="0">
      <selection activeCell="Q6" sqref="Q6:Q13"/>
    </sheetView>
  </sheetViews>
  <sheetFormatPr defaultRowHeight="14.4" x14ac:dyDescent="0.3"/>
  <cols>
    <col min="2" max="2" width="11.109375" style="2" customWidth="1"/>
    <col min="3" max="3" width="12.44140625" style="1" customWidth="1"/>
    <col min="4" max="4" width="11.109375" style="1" customWidth="1"/>
    <col min="5" max="5" width="13.21875" style="1" customWidth="1"/>
    <col min="6" max="6" width="11.21875" style="2" customWidth="1"/>
    <col min="7" max="7" width="11.109375" style="2" customWidth="1"/>
    <col min="8" max="8" width="10.33203125" style="2" customWidth="1"/>
    <col min="9" max="9" width="14.88671875" style="2" customWidth="1"/>
    <col min="10" max="10" width="7.6640625" bestFit="1" customWidth="1"/>
    <col min="16" max="16" width="18.109375" customWidth="1"/>
    <col min="17" max="17" width="31.6640625" customWidth="1"/>
    <col min="18" max="18" width="22.5546875" customWidth="1"/>
    <col min="19" max="19" width="17.33203125" customWidth="1"/>
    <col min="20" max="20" width="20.21875" customWidth="1"/>
    <col min="21" max="21" width="17.77734375" customWidth="1"/>
    <col min="22" max="22" width="17.44140625" customWidth="1"/>
    <col min="23" max="24" width="18.77734375" customWidth="1"/>
    <col min="25" max="25" width="21.77734375" customWidth="1"/>
  </cols>
  <sheetData>
    <row r="2" spans="1:23" ht="18.600000000000001" thickBot="1" x14ac:dyDescent="0.35">
      <c r="C2" s="76" t="s">
        <v>75</v>
      </c>
      <c r="Q2" t="s">
        <v>78</v>
      </c>
    </row>
    <row r="3" spans="1:23" x14ac:dyDescent="0.3">
      <c r="B3" s="155" t="s">
        <v>22</v>
      </c>
      <c r="C3" s="115" t="s">
        <v>56</v>
      </c>
      <c r="D3" s="116" t="s">
        <v>57</v>
      </c>
      <c r="E3" s="117" t="s">
        <v>58</v>
      </c>
      <c r="F3" s="117" t="s">
        <v>59</v>
      </c>
      <c r="G3" s="118" t="s">
        <v>60</v>
      </c>
      <c r="H3" s="118" t="s">
        <v>61</v>
      </c>
      <c r="I3" s="119" t="s">
        <v>62</v>
      </c>
      <c r="J3" s="119" t="s">
        <v>63</v>
      </c>
    </row>
    <row r="4" spans="1:23" ht="18" x14ac:dyDescent="0.3">
      <c r="B4" s="155"/>
      <c r="C4" s="125">
        <v>1</v>
      </c>
      <c r="D4" s="125">
        <v>2</v>
      </c>
      <c r="E4" s="125">
        <v>3</v>
      </c>
      <c r="F4" s="125">
        <v>4</v>
      </c>
      <c r="G4" s="125">
        <v>5</v>
      </c>
      <c r="H4" s="125">
        <v>6</v>
      </c>
      <c r="I4" s="125">
        <v>7</v>
      </c>
      <c r="J4" s="125">
        <v>8</v>
      </c>
      <c r="Q4" s="76" t="s">
        <v>76</v>
      </c>
    </row>
    <row r="5" spans="1:23" ht="83.4" thickBot="1" x14ac:dyDescent="0.35">
      <c r="B5" s="1" t="s">
        <v>0</v>
      </c>
      <c r="C5" s="120" t="s">
        <v>92</v>
      </c>
      <c r="D5" s="121" t="s">
        <v>39</v>
      </c>
      <c r="E5" s="120" t="s">
        <v>93</v>
      </c>
      <c r="F5" s="122" t="s">
        <v>39</v>
      </c>
      <c r="G5" s="120" t="s">
        <v>94</v>
      </c>
      <c r="H5" s="122" t="s">
        <v>39</v>
      </c>
      <c r="I5" s="123" t="s">
        <v>95</v>
      </c>
      <c r="J5" s="124"/>
      <c r="P5" s="29" t="s">
        <v>1</v>
      </c>
      <c r="Q5" s="29" t="s">
        <v>2</v>
      </c>
      <c r="R5" s="29" t="s">
        <v>3</v>
      </c>
      <c r="S5" s="30" t="s">
        <v>46</v>
      </c>
      <c r="T5" s="30" t="s">
        <v>47</v>
      </c>
      <c r="U5" s="103" t="s">
        <v>5</v>
      </c>
      <c r="V5" s="104" t="s">
        <v>16</v>
      </c>
      <c r="W5" s="104" t="s">
        <v>40</v>
      </c>
    </row>
    <row r="6" spans="1:23" ht="15.6" x14ac:dyDescent="0.3">
      <c r="B6" t="s">
        <v>85</v>
      </c>
      <c r="C6" s="108" t="s">
        <v>84</v>
      </c>
      <c r="D6" s="109"/>
      <c r="E6" s="108" t="s">
        <v>91</v>
      </c>
      <c r="F6" s="110"/>
      <c r="G6" s="111" t="s">
        <v>89</v>
      </c>
      <c r="H6" s="109"/>
      <c r="I6" s="111" t="s">
        <v>90</v>
      </c>
      <c r="J6" s="112"/>
      <c r="P6" s="15" t="s">
        <v>97</v>
      </c>
      <c r="Q6" s="130" t="s">
        <v>98</v>
      </c>
      <c r="R6" s="157" t="s">
        <v>10</v>
      </c>
      <c r="S6" s="146" t="s">
        <v>64</v>
      </c>
      <c r="T6" s="90" t="s">
        <v>56</v>
      </c>
      <c r="U6" s="73"/>
      <c r="V6" s="73"/>
      <c r="W6" s="105" t="s">
        <v>30</v>
      </c>
    </row>
    <row r="7" spans="1:23" ht="15.6" x14ac:dyDescent="0.3">
      <c r="A7">
        <v>0</v>
      </c>
      <c r="B7" vm="2">
        <v>44197</v>
      </c>
      <c r="C7" s="48"/>
      <c r="D7" s="49"/>
      <c r="E7" s="56"/>
      <c r="F7" s="57"/>
      <c r="G7" s="48"/>
      <c r="H7" s="49"/>
      <c r="I7" s="56"/>
      <c r="J7" s="59"/>
      <c r="P7" s="15"/>
      <c r="Q7" s="132" t="s">
        <v>104</v>
      </c>
      <c r="R7" s="157"/>
      <c r="S7" s="146"/>
      <c r="T7" s="90" t="s">
        <v>57</v>
      </c>
      <c r="U7" s="73"/>
      <c r="V7" s="73"/>
      <c r="W7" s="105" t="s">
        <v>30</v>
      </c>
    </row>
    <row r="8" spans="1:23" ht="15.6" x14ac:dyDescent="0.3">
      <c r="A8">
        <v>1</v>
      </c>
      <c r="B8" vm="4">
        <v>44228</v>
      </c>
      <c r="C8" s="50">
        <f ca="1">'1.a Compute rate of return'!D7</f>
        <v>3.5247432306255787E-2</v>
      </c>
      <c r="D8" s="51"/>
      <c r="E8" s="50"/>
      <c r="F8" s="51"/>
      <c r="G8" s="58"/>
      <c r="H8" s="51"/>
      <c r="I8" s="58"/>
      <c r="J8" s="51"/>
      <c r="P8" s="16" t="s">
        <v>99</v>
      </c>
      <c r="Q8" s="131" t="s">
        <v>100</v>
      </c>
      <c r="R8" s="158" t="s">
        <v>11</v>
      </c>
      <c r="S8" s="149" t="s">
        <v>65</v>
      </c>
      <c r="T8" s="92" t="s">
        <v>58</v>
      </c>
      <c r="U8" s="74"/>
      <c r="V8" s="74"/>
      <c r="W8" s="106" t="s">
        <v>30</v>
      </c>
    </row>
    <row r="9" spans="1:23" ht="15.6" x14ac:dyDescent="0.3">
      <c r="A9">
        <v>2</v>
      </c>
      <c r="B9" vm="6">
        <v>44256</v>
      </c>
      <c r="C9" s="50">
        <f ca="1">'1.a Compute rate of return'!D8</f>
        <v>-6.809470124013535E-2</v>
      </c>
      <c r="D9" s="51"/>
      <c r="E9" s="50"/>
      <c r="F9" s="51"/>
      <c r="G9" s="58"/>
      <c r="H9" s="51"/>
      <c r="I9" s="58"/>
      <c r="J9" s="51"/>
      <c r="P9" s="16"/>
      <c r="Q9" s="132" t="s">
        <v>104</v>
      </c>
      <c r="R9" s="158"/>
      <c r="S9" s="149"/>
      <c r="T9" s="92" t="s">
        <v>59</v>
      </c>
      <c r="U9" s="74"/>
      <c r="V9" s="74"/>
      <c r="W9" s="106" t="s">
        <v>30</v>
      </c>
    </row>
    <row r="10" spans="1:23" ht="15.6" x14ac:dyDescent="0.3">
      <c r="A10">
        <v>3</v>
      </c>
      <c r="B10" vm="8">
        <v>44287</v>
      </c>
      <c r="C10" s="50">
        <f ca="1">'1.a Compute rate of return'!D9</f>
        <v>0.142269537865957</v>
      </c>
      <c r="D10" s="51"/>
      <c r="E10" s="50"/>
      <c r="F10" s="51"/>
      <c r="G10" s="58"/>
      <c r="H10" s="51"/>
      <c r="I10" s="58"/>
      <c r="J10" s="51"/>
      <c r="P10" s="15" t="s">
        <v>101</v>
      </c>
      <c r="Q10" s="130" t="s">
        <v>102</v>
      </c>
      <c r="R10" s="159" t="s">
        <v>28</v>
      </c>
      <c r="S10" s="138" t="s">
        <v>66</v>
      </c>
      <c r="T10" s="93" t="s">
        <v>60</v>
      </c>
      <c r="U10" s="10"/>
      <c r="V10" s="10"/>
      <c r="W10" s="91" t="s">
        <v>30</v>
      </c>
    </row>
    <row r="11" spans="1:23" ht="15.6" x14ac:dyDescent="0.3">
      <c r="A11">
        <v>4</v>
      </c>
      <c r="B11" vm="10">
        <v>44317</v>
      </c>
      <c r="C11" s="50">
        <f ca="1">'1.a Compute rate of return'!D10</f>
        <v>-2.3300148273670863E-2</v>
      </c>
      <c r="D11" s="51"/>
      <c r="E11" s="50"/>
      <c r="F11" s="51"/>
      <c r="G11" s="58"/>
      <c r="H11" s="51"/>
      <c r="I11" s="58"/>
      <c r="J11" s="51"/>
      <c r="P11" s="15"/>
      <c r="Q11" s="132" t="s">
        <v>104</v>
      </c>
      <c r="R11" s="159"/>
      <c r="S11" s="138"/>
      <c r="T11" s="93" t="s">
        <v>61</v>
      </c>
      <c r="U11" s="10"/>
      <c r="V11" s="10"/>
      <c r="W11" s="91" t="s">
        <v>30</v>
      </c>
    </row>
    <row r="12" spans="1:23" ht="15.6" x14ac:dyDescent="0.3">
      <c r="A12">
        <v>5</v>
      </c>
      <c r="B12" vm="12">
        <v>44348</v>
      </c>
      <c r="C12" s="50">
        <f ca="1">'1.a Compute rate of return'!D11</f>
        <v>0.27347646931251357</v>
      </c>
      <c r="D12" s="51"/>
      <c r="E12" s="50"/>
      <c r="F12" s="51"/>
      <c r="G12" s="58"/>
      <c r="H12" s="51"/>
      <c r="I12" s="58"/>
      <c r="J12" s="51"/>
      <c r="P12" s="9" t="s">
        <v>90</v>
      </c>
      <c r="Q12" s="131" t="s">
        <v>103</v>
      </c>
      <c r="R12" s="156" t="s">
        <v>21</v>
      </c>
      <c r="S12" s="139" t="s">
        <v>67</v>
      </c>
      <c r="T12" s="94" t="s">
        <v>62</v>
      </c>
      <c r="U12" s="75"/>
      <c r="V12" s="75"/>
      <c r="W12" s="107" t="s">
        <v>30</v>
      </c>
    </row>
    <row r="13" spans="1:23" ht="15.6" x14ac:dyDescent="0.3">
      <c r="A13">
        <v>6</v>
      </c>
      <c r="B13" vm="14">
        <v>44378</v>
      </c>
      <c r="C13" s="50">
        <f ca="1">'1.a Compute rate of return'!D12</f>
        <v>-1.2602179836512295E-2</v>
      </c>
      <c r="D13" s="51"/>
      <c r="E13" s="50"/>
      <c r="F13" s="51"/>
      <c r="G13" s="58"/>
      <c r="H13" s="51"/>
      <c r="I13" s="58"/>
      <c r="J13" s="51"/>
      <c r="P13" s="26"/>
      <c r="Q13" s="132" t="s">
        <v>104</v>
      </c>
      <c r="R13" s="156"/>
      <c r="S13" s="139"/>
      <c r="T13" s="94" t="s">
        <v>63</v>
      </c>
      <c r="U13" s="75"/>
      <c r="V13" s="75"/>
      <c r="W13" s="107" t="s">
        <v>30</v>
      </c>
    </row>
    <row r="14" spans="1:23" x14ac:dyDescent="0.3">
      <c r="A14">
        <v>7</v>
      </c>
      <c r="B14" vm="16">
        <v>44409</v>
      </c>
      <c r="C14" s="50">
        <f ca="1">'1.a Compute rate of return'!D13</f>
        <v>8.7788892721628209E-2</v>
      </c>
      <c r="D14" s="51"/>
      <c r="E14" s="50"/>
      <c r="F14" s="51"/>
      <c r="G14" s="58"/>
      <c r="H14" s="51"/>
      <c r="I14" s="58"/>
      <c r="J14" s="51"/>
    </row>
    <row r="15" spans="1:23" x14ac:dyDescent="0.3">
      <c r="A15">
        <v>8</v>
      </c>
      <c r="B15" vm="18">
        <v>44440</v>
      </c>
      <c r="C15" s="50">
        <f ca="1">'1.a Compute rate of return'!D14</f>
        <v>-0.13413667353733949</v>
      </c>
      <c r="D15" s="51"/>
      <c r="E15" s="50"/>
      <c r="F15" s="51"/>
      <c r="G15" s="58"/>
      <c r="H15" s="51"/>
      <c r="I15" s="58"/>
      <c r="J15" s="51"/>
    </row>
    <row r="16" spans="1:23" ht="18.600000000000001" thickBot="1" x14ac:dyDescent="0.35">
      <c r="A16">
        <v>9</v>
      </c>
      <c r="B16" vm="20">
        <v>44470</v>
      </c>
      <c r="C16" s="50">
        <f ca="1">'1.a Compute rate of return'!D15</f>
        <v>-2.4354513825306689E-2</v>
      </c>
      <c r="D16" s="51"/>
      <c r="E16" s="50"/>
      <c r="F16" s="51"/>
      <c r="G16" s="58"/>
      <c r="H16" s="51"/>
      <c r="I16" s="58"/>
      <c r="J16" s="51"/>
      <c r="Q16" s="76" t="s">
        <v>77</v>
      </c>
    </row>
    <row r="17" spans="1:25" ht="27.6" customHeight="1" thickBot="1" x14ac:dyDescent="0.35">
      <c r="A17">
        <v>10</v>
      </c>
      <c r="B17" vm="22">
        <v>44501</v>
      </c>
      <c r="C17" s="50">
        <f ca="1">'1.a Compute rate of return'!D16</f>
        <v>0.17267267267267258</v>
      </c>
      <c r="D17" s="51"/>
      <c r="E17" s="50"/>
      <c r="F17" s="51"/>
      <c r="G17" s="58"/>
      <c r="H17" s="51"/>
      <c r="I17" s="58"/>
      <c r="J17" s="51"/>
      <c r="Q17" s="154" t="s">
        <v>68</v>
      </c>
      <c r="R17" s="152"/>
      <c r="S17" s="151" t="s">
        <v>69</v>
      </c>
      <c r="T17" s="152"/>
      <c r="U17" s="151" t="s">
        <v>70</v>
      </c>
      <c r="V17" s="153"/>
      <c r="W17" s="154" t="s">
        <v>71</v>
      </c>
      <c r="X17" s="152"/>
      <c r="Y17" s="60"/>
    </row>
    <row r="18" spans="1:25" ht="19.2" customHeight="1" thickBot="1" x14ac:dyDescent="0.35">
      <c r="A18">
        <v>11</v>
      </c>
      <c r="B18" vm="24">
        <v>44531</v>
      </c>
      <c r="C18" s="50">
        <f ca="1">'1.a Compute rate of return'!D17</f>
        <v>-6.4020486555696466E-4</v>
      </c>
      <c r="D18" s="51"/>
      <c r="E18" s="50"/>
      <c r="F18" s="51"/>
      <c r="G18" s="58"/>
      <c r="H18" s="51"/>
      <c r="I18" s="58"/>
      <c r="J18" s="51"/>
      <c r="P18" s="60"/>
      <c r="Q18" s="61" t="s">
        <v>56</v>
      </c>
      <c r="R18" s="62" t="s">
        <v>57</v>
      </c>
      <c r="S18" s="62" t="s">
        <v>58</v>
      </c>
      <c r="T18" s="62" t="s">
        <v>59</v>
      </c>
      <c r="U18" s="62" t="s">
        <v>60</v>
      </c>
      <c r="V18" s="62" t="s">
        <v>61</v>
      </c>
      <c r="W18" s="62" t="s">
        <v>62</v>
      </c>
      <c r="X18" s="62" t="s">
        <v>63</v>
      </c>
      <c r="Y18" s="63" t="s">
        <v>44</v>
      </c>
    </row>
    <row r="19" spans="1:25" ht="19.2" customHeight="1" thickBot="1" x14ac:dyDescent="0.35">
      <c r="A19">
        <v>12</v>
      </c>
      <c r="B19" vm="26">
        <v>44562</v>
      </c>
      <c r="C19" s="50">
        <f ca="1">'1.a Compute rate of return'!D18</f>
        <v>-0.27770659833440098</v>
      </c>
      <c r="D19" s="51"/>
      <c r="E19" s="50"/>
      <c r="F19" s="51"/>
      <c r="G19" s="58"/>
      <c r="H19" s="51"/>
      <c r="I19" s="58"/>
      <c r="J19" s="51"/>
      <c r="P19" s="64" t="s">
        <v>12</v>
      </c>
      <c r="Q19" s="65"/>
      <c r="R19" s="66"/>
      <c r="S19" s="65"/>
      <c r="T19" s="66"/>
      <c r="U19" s="65"/>
      <c r="V19" s="67"/>
      <c r="W19" s="68"/>
      <c r="X19" s="66"/>
      <c r="Y19" s="63" t="s">
        <v>45</v>
      </c>
    </row>
    <row r="20" spans="1:25" ht="19.2" customHeight="1" thickBot="1" x14ac:dyDescent="0.35">
      <c r="A20">
        <v>13</v>
      </c>
      <c r="B20" vm="28">
        <v>44593</v>
      </c>
      <c r="C20" s="50">
        <f ca="1">'1.a Compute rate of return'!D19</f>
        <v>3.6141906873614085E-2</v>
      </c>
      <c r="D20" s="51"/>
      <c r="E20" s="50"/>
      <c r="F20" s="51"/>
      <c r="G20" s="58"/>
      <c r="H20" s="51"/>
      <c r="I20" s="58"/>
      <c r="J20" s="51"/>
      <c r="P20" s="64" t="s">
        <v>13</v>
      </c>
      <c r="Q20" s="65"/>
      <c r="R20" s="66"/>
      <c r="S20" s="65"/>
      <c r="T20" s="66"/>
      <c r="U20" s="65"/>
      <c r="V20" s="67"/>
      <c r="W20" s="68"/>
      <c r="X20" s="66"/>
      <c r="Y20" s="63" t="s">
        <v>45</v>
      </c>
    </row>
    <row r="21" spans="1:25" ht="19.2" customHeight="1" thickBot="1" x14ac:dyDescent="0.35">
      <c r="A21">
        <v>14</v>
      </c>
      <c r="B21" vm="30">
        <v>44621</v>
      </c>
      <c r="C21" s="50">
        <f ca="1">'1.a Compute rate of return'!D20</f>
        <v>4.8362936015407774E-2</v>
      </c>
      <c r="D21" s="51"/>
      <c r="E21" s="50"/>
      <c r="F21" s="51"/>
      <c r="G21" s="58"/>
      <c r="H21" s="51"/>
      <c r="I21" s="58"/>
      <c r="J21" s="51"/>
      <c r="P21" s="69" t="s">
        <v>14</v>
      </c>
      <c r="Q21" s="65"/>
      <c r="R21" s="66"/>
      <c r="S21" s="65"/>
      <c r="T21" s="66"/>
      <c r="U21" s="65"/>
      <c r="V21" s="67"/>
      <c r="W21" s="68"/>
      <c r="X21" s="66"/>
      <c r="Y21" s="70" t="s">
        <v>45</v>
      </c>
    </row>
    <row r="22" spans="1:25" ht="19.2" customHeight="1" x14ac:dyDescent="0.3">
      <c r="A22">
        <v>15</v>
      </c>
      <c r="B22" vm="32">
        <v>44652</v>
      </c>
      <c r="C22" s="50">
        <f ca="1">'1.a Compute rate of return'!D21</f>
        <v>-3.0822616860583896E-2</v>
      </c>
      <c r="D22" s="51"/>
      <c r="E22" s="50"/>
      <c r="F22" s="51"/>
      <c r="G22" s="58"/>
      <c r="H22" s="51"/>
      <c r="I22" s="58"/>
      <c r="J22" s="51"/>
      <c r="P22" s="71"/>
      <c r="Q22" s="71"/>
      <c r="R22" s="71"/>
      <c r="S22" s="71"/>
      <c r="T22" s="71"/>
      <c r="U22" s="71"/>
      <c r="V22" s="71"/>
    </row>
    <row r="23" spans="1:25" ht="19.2" customHeight="1" x14ac:dyDescent="0.3">
      <c r="A23">
        <v>16</v>
      </c>
      <c r="B23" vm="34">
        <v>44682</v>
      </c>
      <c r="C23" s="50">
        <f ca="1">'1.a Compute rate of return'!D22</f>
        <v>-0.11267902274641943</v>
      </c>
      <c r="D23" s="51"/>
      <c r="E23" s="50"/>
      <c r="F23" s="51"/>
      <c r="G23" s="58"/>
      <c r="H23" s="51"/>
      <c r="I23" s="58"/>
      <c r="J23" s="51"/>
      <c r="P23" s="72"/>
      <c r="Q23" s="72"/>
      <c r="R23" s="72"/>
      <c r="S23" s="72"/>
      <c r="T23" s="72"/>
      <c r="U23" s="72"/>
      <c r="V23" s="72"/>
    </row>
    <row r="24" spans="1:25" ht="19.2" customHeight="1" x14ac:dyDescent="0.3">
      <c r="A24">
        <v>17</v>
      </c>
      <c r="B24" vm="36">
        <v>44713</v>
      </c>
      <c r="C24" s="50">
        <f ca="1">'1.a Compute rate of return'!D23</f>
        <v>2.8483266081176699E-3</v>
      </c>
      <c r="D24" s="51"/>
      <c r="E24" s="50"/>
      <c r="F24" s="51"/>
      <c r="G24" s="58"/>
      <c r="H24" s="51"/>
      <c r="I24" s="58"/>
      <c r="J24" s="51"/>
      <c r="P24" s="72"/>
      <c r="Q24" s="72"/>
      <c r="R24" s="72"/>
      <c r="S24" s="72"/>
      <c r="T24" s="72"/>
      <c r="U24" s="72"/>
      <c r="V24" s="72"/>
    </row>
    <row r="25" spans="1:25" ht="14.4" customHeight="1" x14ac:dyDescent="0.3">
      <c r="A25">
        <v>18</v>
      </c>
      <c r="B25" vm="38">
        <v>44743</v>
      </c>
      <c r="C25" s="50">
        <f ca="1">'1.a Compute rate of return'!D24</f>
        <v>0.17254437869822484</v>
      </c>
      <c r="D25" s="51"/>
      <c r="E25" s="50"/>
      <c r="F25" s="51"/>
      <c r="G25" s="58"/>
      <c r="H25" s="51"/>
      <c r="I25" s="58"/>
      <c r="J25" s="51"/>
      <c r="P25" s="72"/>
      <c r="Q25" s="72"/>
      <c r="R25" s="72"/>
      <c r="S25" s="72"/>
      <c r="T25" s="72"/>
      <c r="U25" s="72"/>
      <c r="V25" s="72"/>
    </row>
    <row r="26" spans="1:25" x14ac:dyDescent="0.3">
      <c r="A26">
        <v>19</v>
      </c>
      <c r="B26" vm="40">
        <v>44774</v>
      </c>
      <c r="C26" s="50">
        <f ca="1">'1.a Compute rate of return'!D25</f>
        <v>9.9717400080742785E-2</v>
      </c>
      <c r="D26" s="51"/>
      <c r="E26" s="50"/>
      <c r="F26" s="51"/>
      <c r="G26" s="58"/>
      <c r="H26" s="51"/>
      <c r="I26" s="58"/>
      <c r="J26" s="51"/>
    </row>
    <row r="27" spans="1:25" x14ac:dyDescent="0.3">
      <c r="A27">
        <v>20</v>
      </c>
      <c r="B27" vm="42">
        <v>44805</v>
      </c>
      <c r="C27" s="50">
        <f ca="1">'1.a Compute rate of return'!D26</f>
        <v>-7.8744493392070472E-2</v>
      </c>
      <c r="D27" s="51"/>
      <c r="E27" s="50"/>
      <c r="F27" s="51"/>
      <c r="G27" s="58"/>
      <c r="H27" s="51"/>
      <c r="I27" s="58"/>
      <c r="J27" s="51"/>
    </row>
    <row r="28" spans="1:25" x14ac:dyDescent="0.3">
      <c r="A28">
        <v>21</v>
      </c>
      <c r="B28" vm="44">
        <v>44835</v>
      </c>
      <c r="C28" s="50">
        <f ca="1">'1.a Compute rate of return'!D27</f>
        <v>0.1121737397888026</v>
      </c>
      <c r="D28" s="51"/>
      <c r="E28" s="50"/>
      <c r="F28" s="51"/>
      <c r="G28" s="58"/>
      <c r="H28" s="51"/>
      <c r="I28" s="58"/>
      <c r="J28" s="51"/>
    </row>
    <row r="29" spans="1:25" x14ac:dyDescent="0.3">
      <c r="A29">
        <v>22</v>
      </c>
      <c r="B29" vm="46">
        <v>44866</v>
      </c>
      <c r="C29" s="50">
        <f ca="1">'1.a Compute rate of return'!D28</f>
        <v>6.4851307774990999E-2</v>
      </c>
      <c r="D29" s="51"/>
      <c r="E29" s="50"/>
      <c r="F29" s="51"/>
      <c r="G29" s="58"/>
      <c r="H29" s="51"/>
      <c r="I29" s="58"/>
      <c r="J29" s="51"/>
    </row>
    <row r="30" spans="1:25" x14ac:dyDescent="0.3">
      <c r="A30">
        <v>23</v>
      </c>
      <c r="B30" vm="48">
        <v>44896</v>
      </c>
      <c r="C30" s="50">
        <f ca="1">'1.a Compute rate of return'!D29</f>
        <v>-7.0323014804845221E-2</v>
      </c>
      <c r="D30" s="51"/>
      <c r="E30" s="50"/>
      <c r="F30" s="51"/>
      <c r="G30" s="58"/>
      <c r="H30" s="51"/>
      <c r="I30" s="58"/>
      <c r="J30" s="51"/>
    </row>
    <row r="31" spans="1:25" x14ac:dyDescent="0.3">
      <c r="A31">
        <v>24</v>
      </c>
      <c r="B31" vm="50">
        <v>44927</v>
      </c>
      <c r="C31" s="50">
        <f ca="1">'1.a Compute rate of return'!D30</f>
        <v>0.20973579442634813</v>
      </c>
      <c r="D31" s="51"/>
      <c r="E31" s="50"/>
      <c r="F31" s="51"/>
      <c r="G31" s="58"/>
      <c r="H31" s="51"/>
      <c r="I31" s="58"/>
      <c r="J31" s="51"/>
    </row>
    <row r="32" spans="1:25" x14ac:dyDescent="0.3">
      <c r="A32">
        <v>25</v>
      </c>
      <c r="B32" vm="52">
        <v>44958</v>
      </c>
      <c r="C32" s="50">
        <f ca="1">'1.a Compute rate of return'!D31</f>
        <v>-8.7359760658189928E-2</v>
      </c>
      <c r="D32" s="51"/>
      <c r="E32" s="50"/>
      <c r="F32" s="51"/>
      <c r="G32" s="58"/>
      <c r="H32" s="51"/>
      <c r="I32" s="58"/>
      <c r="J32" s="51"/>
    </row>
    <row r="33" spans="1:10" x14ac:dyDescent="0.3">
      <c r="A33">
        <v>26</v>
      </c>
      <c r="B33" vm="54">
        <v>44986</v>
      </c>
      <c r="C33" s="50">
        <f ca="1">'1.a Compute rate of return'!D32</f>
        <v>4.6877561055564655E-2</v>
      </c>
      <c r="D33" s="51"/>
      <c r="E33" s="50"/>
      <c r="F33" s="51"/>
      <c r="G33" s="58"/>
      <c r="H33" s="51"/>
      <c r="I33" s="58"/>
      <c r="J33" s="51"/>
    </row>
    <row r="34" spans="1:10" x14ac:dyDescent="0.3">
      <c r="A34">
        <v>27</v>
      </c>
      <c r="B34" vm="56">
        <v>45017</v>
      </c>
      <c r="C34" s="50">
        <f ca="1">'1.a Compute rate of return'!D33</f>
        <v>-3.8046031000469702E-2</v>
      </c>
      <c r="D34" s="51"/>
      <c r="E34" s="50"/>
      <c r="F34" s="51"/>
      <c r="G34" s="58"/>
      <c r="H34" s="51"/>
      <c r="I34" s="58"/>
      <c r="J34" s="51"/>
    </row>
    <row r="35" spans="1:10" x14ac:dyDescent="0.3">
      <c r="A35">
        <v>28</v>
      </c>
      <c r="B35" vm="58">
        <v>45047</v>
      </c>
      <c r="C35" s="50">
        <f ca="1">'1.a Compute rate of return'!D34</f>
        <v>-3.4016927083333273E-2</v>
      </c>
      <c r="D35" s="51"/>
      <c r="E35" s="50"/>
      <c r="F35" s="51"/>
      <c r="G35" s="58"/>
      <c r="H35" s="51"/>
      <c r="I35" s="58"/>
      <c r="J35" s="51"/>
    </row>
    <row r="36" spans="1:10" x14ac:dyDescent="0.3">
      <c r="A36">
        <v>29</v>
      </c>
      <c r="B36" vm="60">
        <v>45078</v>
      </c>
      <c r="C36" s="50">
        <f ca="1">'1.a Compute rate of return'!D35</f>
        <v>0.10598146588037066</v>
      </c>
      <c r="D36" s="51"/>
      <c r="E36" s="50"/>
      <c r="F36" s="51"/>
      <c r="G36" s="58"/>
      <c r="H36" s="51"/>
      <c r="I36" s="58"/>
      <c r="J36" s="51"/>
    </row>
    <row r="37" spans="1:10" x14ac:dyDescent="0.3">
      <c r="A37">
        <v>30</v>
      </c>
      <c r="B37" vm="62">
        <v>45108</v>
      </c>
      <c r="C37" s="50">
        <f ca="1">'1.a Compute rate of return'!D36</f>
        <v>4.7989031078610689E-2</v>
      </c>
      <c r="D37" s="51"/>
      <c r="E37" s="50"/>
      <c r="F37" s="51"/>
      <c r="G37" s="58"/>
      <c r="H37" s="51"/>
      <c r="I37" s="58"/>
      <c r="J37" s="51"/>
    </row>
    <row r="38" spans="1:10" x14ac:dyDescent="0.3">
      <c r="A38">
        <v>31</v>
      </c>
      <c r="B38" vm="64">
        <v>45139</v>
      </c>
      <c r="C38" s="50">
        <f ca="1">'1.a Compute rate of return'!D37</f>
        <v>6.585259485390299E-2</v>
      </c>
      <c r="D38" s="51"/>
      <c r="E38" s="50"/>
      <c r="F38" s="51"/>
      <c r="G38" s="58"/>
      <c r="H38" s="51"/>
      <c r="I38" s="58"/>
      <c r="J38" s="51"/>
    </row>
    <row r="39" spans="1:10" x14ac:dyDescent="0.3">
      <c r="A39">
        <v>32</v>
      </c>
      <c r="B39" vm="66">
        <v>45170</v>
      </c>
      <c r="C39" s="50">
        <f ca="1">'1.a Compute rate of return'!D38</f>
        <v>0.13734315330060023</v>
      </c>
      <c r="D39" s="51"/>
      <c r="E39" s="50"/>
      <c r="F39" s="51"/>
      <c r="G39" s="58"/>
      <c r="H39" s="51"/>
      <c r="I39" s="58"/>
      <c r="J39" s="51"/>
    </row>
    <row r="40" spans="1:10" x14ac:dyDescent="0.3">
      <c r="A40">
        <v>33</v>
      </c>
      <c r="B40" vm="68">
        <v>45200</v>
      </c>
      <c r="C40" s="50">
        <f ca="1">'1.a Compute rate of return'!D39</f>
        <v>-0.10612783307350994</v>
      </c>
      <c r="D40" s="51"/>
      <c r="E40" s="50"/>
      <c r="F40" s="51"/>
      <c r="G40" s="58"/>
      <c r="H40" s="51"/>
      <c r="I40" s="58"/>
      <c r="J40" s="51"/>
    </row>
    <row r="41" spans="1:10" x14ac:dyDescent="0.3">
      <c r="A41">
        <v>34</v>
      </c>
      <c r="B41" vm="70">
        <v>45231</v>
      </c>
      <c r="C41" s="50">
        <f ca="1">'1.a Compute rate of return'!D40</f>
        <v>0.18607459082371866</v>
      </c>
      <c r="D41" s="51"/>
      <c r="E41" s="50"/>
      <c r="F41" s="51"/>
      <c r="G41" s="58"/>
      <c r="H41" s="51"/>
      <c r="I41" s="58"/>
      <c r="J41" s="51"/>
    </row>
    <row r="42" spans="1:10" x14ac:dyDescent="0.3">
      <c r="A42">
        <v>35</v>
      </c>
      <c r="B42" vm="72">
        <v>45261</v>
      </c>
      <c r="C42" s="50">
        <f ca="1">'1.a Compute rate of return'!D41</f>
        <v>8.3927157561361862E-2</v>
      </c>
      <c r="D42" s="51"/>
      <c r="E42" s="50"/>
      <c r="F42" s="51"/>
      <c r="G42" s="58"/>
      <c r="H42" s="51"/>
      <c r="I42" s="58"/>
      <c r="J42" s="51"/>
    </row>
    <row r="43" spans="1:10" x14ac:dyDescent="0.3">
      <c r="A43">
        <v>36</v>
      </c>
      <c r="B43" vm="74">
        <v>45292</v>
      </c>
      <c r="C43" s="50">
        <f ca="1">'1.a Compute rate of return'!D42</f>
        <v>5.9793384117708487E-2</v>
      </c>
      <c r="D43" s="51"/>
      <c r="E43" s="50"/>
      <c r="F43" s="51"/>
      <c r="G43" s="58"/>
      <c r="H43" s="51"/>
      <c r="I43" s="58"/>
      <c r="J43" s="51"/>
    </row>
    <row r="44" spans="1:10" x14ac:dyDescent="0.3">
      <c r="A44">
        <v>37</v>
      </c>
      <c r="B44" vm="76">
        <v>45323</v>
      </c>
      <c r="C44" s="50">
        <f ca="1">'1.a Compute rate of return'!D43</f>
        <v>2.2252855454903415E-2</v>
      </c>
      <c r="D44" s="51"/>
      <c r="E44" s="50"/>
      <c r="F44" s="51"/>
      <c r="G44" s="58"/>
      <c r="H44" s="51"/>
      <c r="I44" s="58"/>
      <c r="J44" s="51"/>
    </row>
    <row r="45" spans="1:10" x14ac:dyDescent="0.3">
      <c r="A45">
        <v>38</v>
      </c>
      <c r="B45" vm="78">
        <v>45352</v>
      </c>
      <c r="C45" s="50">
        <f ca="1">'1.a Compute rate of return'!D44</f>
        <v>-6.7424388364470411E-4</v>
      </c>
      <c r="D45" s="51"/>
      <c r="E45" s="50"/>
      <c r="F45" s="51"/>
      <c r="G45" s="58"/>
      <c r="H45" s="51"/>
      <c r="I45" s="58"/>
      <c r="J45" s="51"/>
    </row>
    <row r="46" spans="1:10" x14ac:dyDescent="0.3">
      <c r="A46">
        <v>39</v>
      </c>
      <c r="B46" vm="80">
        <v>45383</v>
      </c>
      <c r="C46" s="50">
        <f ca="1">'1.a Compute rate of return'!D45</f>
        <v>7.3831325301204787E-2</v>
      </c>
      <c r="D46" s="51"/>
      <c r="E46" s="50"/>
      <c r="F46" s="51"/>
      <c r="G46" s="58"/>
      <c r="H46" s="51"/>
      <c r="I46" s="58"/>
      <c r="J46" s="51"/>
    </row>
    <row r="47" spans="1:10" x14ac:dyDescent="0.3">
      <c r="A47">
        <v>40</v>
      </c>
      <c r="B47" vm="82">
        <v>45413</v>
      </c>
      <c r="C47" s="50">
        <f ca="1">'1.a Compute rate of return'!D46</f>
        <v>7.8179696616102759E-2</v>
      </c>
      <c r="D47" s="51"/>
      <c r="E47" s="50"/>
      <c r="F47" s="51"/>
      <c r="G47" s="58"/>
      <c r="H47" s="51"/>
      <c r="I47" s="58"/>
      <c r="J47" s="51"/>
    </row>
    <row r="48" spans="1:10" x14ac:dyDescent="0.3">
      <c r="A48">
        <v>41</v>
      </c>
      <c r="B48" vm="84">
        <v>45444</v>
      </c>
      <c r="C48" s="50">
        <f ca="1">'1.a Compute rate of return'!D47</f>
        <v>0.19264069264069253</v>
      </c>
      <c r="D48" s="51"/>
      <c r="E48" s="50"/>
      <c r="F48" s="51"/>
      <c r="G48" s="58"/>
      <c r="H48" s="51"/>
      <c r="I48" s="58"/>
      <c r="J48" s="51"/>
    </row>
    <row r="49" spans="1:10" x14ac:dyDescent="0.3">
      <c r="A49">
        <v>42</v>
      </c>
      <c r="B49" vm="86">
        <v>45474</v>
      </c>
      <c r="C49" s="50">
        <f ca="1">'1.a Compute rate of return'!D48</f>
        <v>3.4901577551305321E-3</v>
      </c>
      <c r="D49" s="51"/>
      <c r="E49" s="50"/>
      <c r="F49" s="51"/>
      <c r="G49" s="58"/>
      <c r="H49" s="51"/>
      <c r="I49" s="58"/>
      <c r="J49" s="51"/>
    </row>
    <row r="50" spans="1:10" x14ac:dyDescent="0.3">
      <c r="A50">
        <v>43</v>
      </c>
      <c r="B50" vm="88">
        <v>45505</v>
      </c>
      <c r="C50" s="50">
        <f ca="1">'1.a Compute rate of return'!D49</f>
        <v>4.8274902615470218E-2</v>
      </c>
      <c r="D50" s="51"/>
      <c r="E50" s="50"/>
      <c r="F50" s="51"/>
      <c r="G50" s="58"/>
      <c r="H50" s="51"/>
      <c r="I50" s="58"/>
      <c r="J50" s="51"/>
    </row>
    <row r="51" spans="1:10" x14ac:dyDescent="0.3">
      <c r="A51">
        <v>44</v>
      </c>
      <c r="B51" vm="90">
        <v>45536</v>
      </c>
      <c r="C51" s="50">
        <f ca="1">'1.a Compute rate of return'!D50</f>
        <v>0.18281353682813545</v>
      </c>
      <c r="D51" s="51"/>
      <c r="E51" s="50"/>
      <c r="F51" s="51"/>
      <c r="G51" s="58"/>
      <c r="H51" s="51"/>
      <c r="I51" s="58"/>
      <c r="J51" s="51"/>
    </row>
    <row r="52" spans="1:10" x14ac:dyDescent="0.3">
      <c r="A52">
        <v>45</v>
      </c>
      <c r="B52" vm="92">
        <v>45566</v>
      </c>
      <c r="C52" s="50">
        <f ca="1">'1.a Compute rate of return'!D51</f>
        <v>9.3015427769986045E-2</v>
      </c>
      <c r="D52" s="51"/>
      <c r="E52" s="50"/>
      <c r="F52" s="51"/>
      <c r="G52" s="58"/>
      <c r="H52" s="51"/>
      <c r="I52" s="58"/>
      <c r="J52" s="51"/>
    </row>
    <row r="53" spans="1:10" x14ac:dyDescent="0.3">
      <c r="A53">
        <v>46</v>
      </c>
      <c r="B53" vm="94">
        <v>45597</v>
      </c>
      <c r="C53" s="50">
        <f ca="1">'1.a Compute rate of return'!D52</f>
        <v>0.2928707077965404</v>
      </c>
      <c r="D53" s="51"/>
      <c r="E53" s="50"/>
      <c r="F53" s="51"/>
      <c r="G53" s="58"/>
      <c r="H53" s="51"/>
      <c r="I53" s="58"/>
      <c r="J53" s="51"/>
    </row>
    <row r="54" spans="1:10" x14ac:dyDescent="0.3">
      <c r="A54">
        <v>47</v>
      </c>
      <c r="B54" vm="96">
        <v>45627</v>
      </c>
      <c r="C54" s="50">
        <f ca="1">'1.a Compute rate of return'!D53</f>
        <v>-7.0268768113064504E-3</v>
      </c>
      <c r="D54" s="51"/>
      <c r="E54" s="50"/>
      <c r="F54" s="51"/>
      <c r="G54" s="58"/>
      <c r="H54" s="51"/>
      <c r="I54" s="58"/>
      <c r="J54" s="51"/>
    </row>
    <row r="55" spans="1:10" x14ac:dyDescent="0.3">
      <c r="A55">
        <v>48</v>
      </c>
      <c r="B55" vm="98">
        <v>45658</v>
      </c>
      <c r="C55" s="50">
        <f ca="1">'1.a Compute rate of return'!D54</f>
        <v>0.11306572845034372</v>
      </c>
      <c r="D55" s="51"/>
      <c r="E55" s="50"/>
      <c r="F55" s="51"/>
      <c r="G55" s="58"/>
      <c r="H55" s="51"/>
      <c r="I55" s="58"/>
      <c r="J55" s="51"/>
    </row>
    <row r="56" spans="1:10" ht="26.25" customHeight="1" x14ac:dyDescent="0.3">
      <c r="B56" s="47" t="s">
        <v>50</v>
      </c>
      <c r="C56" s="52">
        <f t="shared" ref="C56" ca="1" si="0">AVERAGE(C8:C55)</f>
        <v>4.5530185933715182E-2</v>
      </c>
      <c r="D56" s="53"/>
      <c r="E56" s="52" t="e">
        <f t="shared" ref="E56" si="1">AVERAGE(E8:E55)</f>
        <v>#DIV/0!</v>
      </c>
      <c r="F56" s="53"/>
      <c r="G56" s="52"/>
      <c r="H56" s="53"/>
      <c r="I56" s="52"/>
      <c r="J56" s="53"/>
    </row>
    <row r="57" spans="1:10" ht="25.2" customHeight="1" thickBot="1" x14ac:dyDescent="0.35">
      <c r="B57" s="2" t="s">
        <v>29</v>
      </c>
      <c r="C57" s="54">
        <f ca="1">_xlfn.STDEV.S(C8:C55)</f>
        <v>0.10936385592244387</v>
      </c>
      <c r="D57" s="55"/>
      <c r="E57" s="54" t="e">
        <f t="shared" ref="E57" si="2">_xlfn.STDEV.S(E8:E55)</f>
        <v>#DIV/0!</v>
      </c>
      <c r="F57" s="55"/>
      <c r="G57" s="54"/>
      <c r="H57" s="55"/>
      <c r="I57" s="54"/>
      <c r="J57" s="55"/>
    </row>
    <row r="58" spans="1:10" x14ac:dyDescent="0.3">
      <c r="C58" s="1" t="s">
        <v>9</v>
      </c>
      <c r="D58" s="1" t="s">
        <v>9</v>
      </c>
      <c r="E58" s="1" t="s">
        <v>8</v>
      </c>
      <c r="F58" s="2" t="s">
        <v>8</v>
      </c>
      <c r="G58" s="2" t="s">
        <v>6</v>
      </c>
      <c r="H58" s="2" t="s">
        <v>6</v>
      </c>
      <c r="I58" s="2" t="s">
        <v>7</v>
      </c>
      <c r="J58" s="2" t="s">
        <v>7</v>
      </c>
    </row>
    <row r="59" spans="1:10" x14ac:dyDescent="0.3">
      <c r="C59" s="19" t="s">
        <v>30</v>
      </c>
      <c r="D59" s="19" t="s">
        <v>30</v>
      </c>
      <c r="E59" s="19" t="s">
        <v>30</v>
      </c>
      <c r="F59" s="19" t="s">
        <v>30</v>
      </c>
      <c r="G59" s="19" t="s">
        <v>30</v>
      </c>
      <c r="H59" s="19" t="s">
        <v>30</v>
      </c>
      <c r="I59" s="19" t="s">
        <v>30</v>
      </c>
      <c r="J59" s="19" t="s">
        <v>30</v>
      </c>
    </row>
    <row r="61" spans="1:10" x14ac:dyDescent="0.3">
      <c r="C61" s="20" t="s">
        <v>31</v>
      </c>
      <c r="D61" s="20" t="s">
        <v>32</v>
      </c>
      <c r="E61" s="2"/>
    </row>
    <row r="62" spans="1:10" x14ac:dyDescent="0.3">
      <c r="C62" s="21"/>
      <c r="D62" s="22"/>
      <c r="E62" s="1" t="s">
        <v>15</v>
      </c>
      <c r="F62" s="1" t="s">
        <v>12</v>
      </c>
    </row>
    <row r="63" spans="1:10" x14ac:dyDescent="0.3">
      <c r="C63" s="21"/>
      <c r="D63" s="22"/>
      <c r="E63" s="1" t="s">
        <v>15</v>
      </c>
      <c r="F63" s="1" t="s">
        <v>13</v>
      </c>
    </row>
    <row r="64" spans="1:10" x14ac:dyDescent="0.3">
      <c r="C64" s="21"/>
      <c r="D64" s="22"/>
      <c r="E64" s="1" t="s">
        <v>15</v>
      </c>
      <c r="F64" s="1" t="s">
        <v>14</v>
      </c>
    </row>
    <row r="65" spans="3:6" x14ac:dyDescent="0.3">
      <c r="C65" s="2"/>
      <c r="D65" s="2"/>
      <c r="E65" s="2"/>
      <c r="F65" s="1"/>
    </row>
  </sheetData>
  <mergeCells count="13">
    <mergeCell ref="S17:T17"/>
    <mergeCell ref="U17:V17"/>
    <mergeCell ref="W17:X17"/>
    <mergeCell ref="B3:B4"/>
    <mergeCell ref="R12:R13"/>
    <mergeCell ref="S12:S13"/>
    <mergeCell ref="R6:R7"/>
    <mergeCell ref="S6:S7"/>
    <mergeCell ref="R8:R9"/>
    <mergeCell ref="S8:S9"/>
    <mergeCell ref="R10:R11"/>
    <mergeCell ref="S10:S11"/>
    <mergeCell ref="Q17:R17"/>
  </mergeCells>
  <phoneticPr fontId="8"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A545A-BDD0-4630-8E47-56DCFC692EA0}">
  <sheetPr>
    <tabColor theme="9" tint="-0.499984740745262"/>
  </sheetPr>
  <dimension ref="B1:O47"/>
  <sheetViews>
    <sheetView showGridLines="0" topLeftCell="D6" zoomScale="120" zoomScaleNormal="120" workbookViewId="0">
      <selection activeCell="N9" sqref="N9"/>
    </sheetView>
  </sheetViews>
  <sheetFormatPr defaultColWidth="9.33203125" defaultRowHeight="12" x14ac:dyDescent="0.25"/>
  <cols>
    <col min="1" max="1" width="2.33203125" style="3" customWidth="1"/>
    <col min="2" max="2" width="4" style="36" customWidth="1"/>
    <col min="3" max="3" width="39.5546875" style="3" customWidth="1"/>
    <col min="4" max="12" width="8.6640625" style="3" customWidth="1"/>
    <col min="13" max="13" width="12.44140625" style="3" customWidth="1"/>
    <col min="14" max="14" width="8.6640625" style="3" customWidth="1"/>
    <col min="15" max="15" width="15.5546875" style="3" bestFit="1" customWidth="1"/>
    <col min="16" max="16" width="13.6640625" style="3" customWidth="1"/>
    <col min="17" max="18" width="9.33203125" style="3" customWidth="1"/>
    <col min="19" max="19" width="6" style="3" bestFit="1" customWidth="1"/>
    <col min="20" max="20" width="3.5546875" style="3" bestFit="1" customWidth="1"/>
    <col min="21" max="21" width="6.5546875" style="3" customWidth="1"/>
    <col min="22" max="22" width="4.33203125" style="3" bestFit="1" customWidth="1"/>
    <col min="23" max="16384" width="9.33203125" style="3"/>
  </cols>
  <sheetData>
    <row r="1" spans="3:15" ht="18" x14ac:dyDescent="0.35">
      <c r="C1" s="102" t="s">
        <v>109</v>
      </c>
      <c r="D1" s="102" t="s">
        <v>109</v>
      </c>
    </row>
    <row r="2" spans="3:15" x14ac:dyDescent="0.25">
      <c r="C2" s="39"/>
      <c r="D2" s="39"/>
      <c r="E2" s="39"/>
      <c r="F2" s="39"/>
      <c r="G2" s="39"/>
      <c r="H2" s="39"/>
      <c r="I2" s="39"/>
      <c r="J2" s="39"/>
      <c r="K2" s="39"/>
      <c r="L2" s="39"/>
      <c r="M2" s="39"/>
      <c r="N2" s="39"/>
      <c r="O2" s="39"/>
    </row>
    <row r="3" spans="3:15" x14ac:dyDescent="0.25">
      <c r="C3" s="40" t="s">
        <v>17</v>
      </c>
      <c r="D3" s="41"/>
      <c r="E3" s="41"/>
      <c r="F3" s="41"/>
      <c r="G3" s="41"/>
      <c r="H3" s="41"/>
      <c r="I3" s="41"/>
      <c r="J3" s="41"/>
      <c r="K3" s="41"/>
      <c r="L3" s="41"/>
      <c r="M3" s="4"/>
      <c r="N3" s="4"/>
      <c r="O3" s="4"/>
    </row>
    <row r="4" spans="3:15" ht="15" thickBot="1" x14ac:dyDescent="0.35">
      <c r="C4" s="8" t="s">
        <v>4</v>
      </c>
      <c r="D4" s="38" t="s">
        <v>30</v>
      </c>
      <c r="E4" s="38" t="s">
        <v>30</v>
      </c>
      <c r="F4" s="38" t="s">
        <v>30</v>
      </c>
      <c r="G4" s="38" t="s">
        <v>30</v>
      </c>
      <c r="H4" s="38" t="s">
        <v>30</v>
      </c>
      <c r="I4" s="38" t="s">
        <v>30</v>
      </c>
      <c r="J4" s="38" t="s">
        <v>30</v>
      </c>
      <c r="K4" s="38" t="s">
        <v>30</v>
      </c>
      <c r="L4" s="39"/>
      <c r="M4" s="4"/>
      <c r="N4" s="4"/>
      <c r="O4" s="4"/>
    </row>
    <row r="5" spans="3:15" ht="15" thickBot="1" x14ac:dyDescent="0.35">
      <c r="C5" s="8" t="s">
        <v>72</v>
      </c>
      <c r="D5" s="78" t="s">
        <v>56</v>
      </c>
      <c r="E5" s="77" t="s">
        <v>57</v>
      </c>
      <c r="F5" s="77" t="s">
        <v>58</v>
      </c>
      <c r="G5" s="77" t="s">
        <v>59</v>
      </c>
      <c r="H5" s="77" t="s">
        <v>60</v>
      </c>
      <c r="I5" s="77" t="s">
        <v>61</v>
      </c>
      <c r="J5" s="77" t="s">
        <v>62</v>
      </c>
      <c r="K5" s="77" t="s">
        <v>63</v>
      </c>
      <c r="L5" s="39"/>
      <c r="M5" s="4"/>
      <c r="N5" s="4"/>
      <c r="O5" s="4"/>
    </row>
    <row r="6" spans="3:15" ht="14.4" x14ac:dyDescent="0.3">
      <c r="C6" s="8"/>
      <c r="D6" s="79"/>
      <c r="E6" s="79"/>
      <c r="F6" s="79"/>
      <c r="G6" s="79"/>
      <c r="H6" s="79"/>
      <c r="I6" s="79"/>
      <c r="J6" s="79"/>
      <c r="K6" s="79"/>
      <c r="L6" s="39"/>
      <c r="M6" s="4"/>
      <c r="N6" s="4"/>
      <c r="O6" s="4"/>
    </row>
    <row r="7" spans="3:15" ht="19.95" customHeight="1" x14ac:dyDescent="0.25">
      <c r="C7" s="41"/>
      <c r="D7" s="41"/>
      <c r="E7" s="41"/>
      <c r="F7" s="41"/>
      <c r="G7" s="41"/>
      <c r="H7" s="41"/>
      <c r="I7" s="41"/>
      <c r="J7" s="41"/>
      <c r="K7" s="41"/>
      <c r="L7" s="41"/>
      <c r="M7" s="4"/>
      <c r="N7" s="4"/>
      <c r="O7" s="4"/>
    </row>
    <row r="8" spans="3:15" x14ac:dyDescent="0.25">
      <c r="C8" s="4"/>
      <c r="D8" s="4"/>
      <c r="E8" s="4"/>
      <c r="F8" s="4"/>
      <c r="G8" s="4"/>
      <c r="H8" s="4"/>
      <c r="I8" s="4"/>
      <c r="J8" s="4"/>
      <c r="K8" s="4"/>
      <c r="L8" s="41"/>
      <c r="M8" s="4"/>
      <c r="N8" s="4"/>
      <c r="O8" s="4"/>
    </row>
    <row r="9" spans="3:15" ht="12" customHeight="1" thickBot="1" x14ac:dyDescent="0.3">
      <c r="C9" s="40" t="s">
        <v>18</v>
      </c>
      <c r="D9" s="38" t="s">
        <v>30</v>
      </c>
      <c r="E9" s="38" t="s">
        <v>30</v>
      </c>
      <c r="F9" s="38" t="s">
        <v>30</v>
      </c>
      <c r="G9" s="38" t="s">
        <v>30</v>
      </c>
      <c r="H9" s="38" t="s">
        <v>30</v>
      </c>
      <c r="I9" s="38" t="s">
        <v>30</v>
      </c>
      <c r="J9" s="38" t="s">
        <v>30</v>
      </c>
      <c r="K9" s="38" t="s">
        <v>30</v>
      </c>
      <c r="L9" s="4"/>
      <c r="M9" s="4"/>
      <c r="N9" s="4"/>
      <c r="O9" s="4"/>
    </row>
    <row r="10" spans="3:15" ht="12" customHeight="1" thickBot="1" x14ac:dyDescent="0.3">
      <c r="C10" s="40"/>
      <c r="D10" s="78" t="s">
        <v>56</v>
      </c>
      <c r="E10" s="77" t="s">
        <v>57</v>
      </c>
      <c r="F10" s="77" t="s">
        <v>58</v>
      </c>
      <c r="G10" s="77" t="s">
        <v>59</v>
      </c>
      <c r="H10" s="77" t="s">
        <v>60</v>
      </c>
      <c r="I10" s="77" t="s">
        <v>61</v>
      </c>
      <c r="J10" s="77" t="s">
        <v>62</v>
      </c>
      <c r="K10" s="77" t="s">
        <v>63</v>
      </c>
      <c r="L10" s="4"/>
      <c r="M10" s="4"/>
      <c r="N10" s="4"/>
      <c r="O10" s="4"/>
    </row>
    <row r="11" spans="3:15" ht="12" customHeight="1" x14ac:dyDescent="0.25">
      <c r="C11" s="40"/>
      <c r="D11" s="4"/>
      <c r="E11" s="4"/>
      <c r="F11" s="4"/>
      <c r="G11" s="4"/>
      <c r="H11" s="4"/>
      <c r="I11" s="4"/>
      <c r="J11" s="4"/>
      <c r="K11" s="4"/>
      <c r="L11" s="4"/>
      <c r="M11" s="4"/>
      <c r="N11" s="4"/>
      <c r="O11" s="4"/>
    </row>
    <row r="12" spans="3:15" ht="12" customHeight="1" x14ac:dyDescent="0.25">
      <c r="C12" s="40"/>
      <c r="D12" s="4"/>
      <c r="E12" s="4"/>
      <c r="F12" s="4"/>
      <c r="G12" s="4"/>
      <c r="H12" s="4"/>
      <c r="I12" s="4"/>
      <c r="J12" s="4"/>
      <c r="K12" s="4"/>
      <c r="L12" s="4"/>
      <c r="M12" s="4"/>
      <c r="N12" s="4"/>
      <c r="O12" s="4"/>
    </row>
    <row r="13" spans="3:15" ht="12" customHeight="1" x14ac:dyDescent="0.25">
      <c r="C13" s="40"/>
      <c r="D13" s="4"/>
      <c r="E13" s="4"/>
      <c r="F13" s="4"/>
      <c r="G13" s="4"/>
      <c r="H13" s="4"/>
      <c r="I13" s="4"/>
      <c r="J13" s="4"/>
      <c r="K13" s="4"/>
      <c r="L13" s="4"/>
      <c r="M13" s="4"/>
      <c r="N13" s="4"/>
      <c r="O13" s="4"/>
    </row>
    <row r="14" spans="3:15" x14ac:dyDescent="0.25">
      <c r="C14" s="4"/>
      <c r="D14" s="4"/>
      <c r="E14" s="4"/>
      <c r="F14" s="4"/>
      <c r="G14" s="4"/>
      <c r="H14" s="4"/>
      <c r="I14" s="4"/>
      <c r="J14" s="4"/>
      <c r="K14" s="4"/>
      <c r="L14" s="4"/>
      <c r="M14" s="4"/>
      <c r="N14" s="4"/>
      <c r="O14" s="4"/>
    </row>
    <row r="15" spans="3:15" x14ac:dyDescent="0.25">
      <c r="C15" s="4" t="s">
        <v>19</v>
      </c>
      <c r="D15" s="4"/>
      <c r="E15" s="4"/>
      <c r="F15" s="4"/>
      <c r="G15" s="4"/>
      <c r="H15" s="4"/>
      <c r="I15" s="4"/>
      <c r="J15" s="4"/>
      <c r="K15" s="4"/>
      <c r="L15" s="4"/>
      <c r="M15" s="4"/>
      <c r="N15" s="4"/>
      <c r="O15" s="4"/>
    </row>
    <row r="16" spans="3:15" ht="14.4" x14ac:dyDescent="0.25">
      <c r="C16" s="127"/>
      <c r="D16" s="128" t="s">
        <v>30</v>
      </c>
      <c r="E16" s="128" t="s">
        <v>30</v>
      </c>
      <c r="F16" s="128" t="s">
        <v>30</v>
      </c>
      <c r="G16" s="128" t="s">
        <v>30</v>
      </c>
      <c r="H16" s="128" t="s">
        <v>30</v>
      </c>
      <c r="I16" s="128" t="s">
        <v>30</v>
      </c>
      <c r="J16" s="128" t="s">
        <v>30</v>
      </c>
      <c r="K16" s="128" t="s">
        <v>30</v>
      </c>
      <c r="L16" s="127"/>
      <c r="M16" s="127" t="s">
        <v>36</v>
      </c>
      <c r="N16" s="127"/>
      <c r="O16" s="127"/>
    </row>
    <row r="17" spans="2:15" ht="24" x14ac:dyDescent="0.25">
      <c r="C17" s="42" t="s">
        <v>37</v>
      </c>
      <c r="D17" s="129" t="s">
        <v>56</v>
      </c>
      <c r="E17" s="129" t="s">
        <v>57</v>
      </c>
      <c r="F17" s="129" t="s">
        <v>58</v>
      </c>
      <c r="G17" s="129" t="s">
        <v>59</v>
      </c>
      <c r="H17" s="129" t="s">
        <v>60</v>
      </c>
      <c r="I17" s="129" t="s">
        <v>61</v>
      </c>
      <c r="J17" s="129" t="s">
        <v>62</v>
      </c>
      <c r="K17" s="129" t="s">
        <v>63</v>
      </c>
      <c r="L17" s="5"/>
      <c r="M17" s="5" t="s">
        <v>20</v>
      </c>
      <c r="N17" s="5"/>
      <c r="O17" s="39"/>
    </row>
    <row r="18" spans="2:15" x14ac:dyDescent="0.25">
      <c r="B18" s="36">
        <v>1</v>
      </c>
      <c r="C18" s="4" t="s">
        <v>43</v>
      </c>
      <c r="D18" s="113"/>
      <c r="E18" s="113"/>
      <c r="F18" s="113"/>
      <c r="G18" s="113"/>
      <c r="H18" s="113"/>
      <c r="I18" s="113"/>
      <c r="J18" s="113"/>
      <c r="K18" s="113"/>
      <c r="L18" s="24"/>
      <c r="M18" s="23" t="s">
        <v>35</v>
      </c>
      <c r="N18" s="114"/>
      <c r="O18" s="4"/>
    </row>
    <row r="19" spans="2:15" ht="13.2" customHeight="1" x14ac:dyDescent="0.25">
      <c r="B19" s="36">
        <v>2</v>
      </c>
      <c r="C19" s="4"/>
      <c r="D19" s="113"/>
      <c r="E19" s="113"/>
      <c r="F19" s="113"/>
      <c r="G19" s="113"/>
      <c r="H19" s="113"/>
      <c r="I19" s="113"/>
      <c r="J19" s="113"/>
      <c r="K19" s="113"/>
      <c r="L19" s="24"/>
      <c r="M19" s="23" t="s">
        <v>35</v>
      </c>
      <c r="N19" s="114"/>
      <c r="O19" s="4"/>
    </row>
    <row r="20" spans="2:15" ht="13.2" customHeight="1" x14ac:dyDescent="0.25">
      <c r="B20" s="36">
        <v>3</v>
      </c>
      <c r="C20" s="4"/>
      <c r="D20" s="113"/>
      <c r="E20" s="113"/>
      <c r="F20" s="113"/>
      <c r="G20" s="113"/>
      <c r="H20" s="113"/>
      <c r="I20" s="113"/>
      <c r="J20" s="113"/>
      <c r="K20" s="113"/>
      <c r="L20" s="24"/>
      <c r="M20" s="23" t="s">
        <v>35</v>
      </c>
      <c r="N20" s="114"/>
      <c r="O20" s="4"/>
    </row>
    <row r="21" spans="2:15" x14ac:dyDescent="0.25">
      <c r="B21" s="36" t="s">
        <v>42</v>
      </c>
      <c r="C21" s="39"/>
      <c r="D21" s="39"/>
      <c r="E21" s="39"/>
      <c r="F21" s="39"/>
      <c r="G21" s="39"/>
      <c r="H21" s="39"/>
      <c r="I21" s="39"/>
      <c r="J21" s="39"/>
      <c r="K21" s="39"/>
      <c r="L21" s="39"/>
      <c r="M21" s="39"/>
      <c r="N21" s="39"/>
      <c r="O21" s="39"/>
    </row>
    <row r="22" spans="2:15" x14ac:dyDescent="0.25">
      <c r="B22" s="36" t="s">
        <v>42</v>
      </c>
      <c r="C22" s="39"/>
      <c r="D22" s="39"/>
      <c r="E22" s="39"/>
      <c r="F22" s="39"/>
      <c r="G22" s="39"/>
      <c r="H22" s="39"/>
      <c r="I22" s="39"/>
      <c r="J22" s="39"/>
      <c r="K22" s="39"/>
      <c r="L22" s="39"/>
      <c r="M22" s="39"/>
      <c r="N22" s="39"/>
      <c r="O22" s="39"/>
    </row>
    <row r="23" spans="2:15" x14ac:dyDescent="0.25">
      <c r="B23" s="36" t="s">
        <v>42</v>
      </c>
      <c r="C23" s="39"/>
      <c r="D23" s="39"/>
      <c r="E23" s="39"/>
      <c r="F23" s="39"/>
      <c r="G23" s="39"/>
      <c r="H23" s="39"/>
      <c r="I23" s="39"/>
      <c r="J23" s="39"/>
      <c r="K23" s="39"/>
      <c r="L23" s="39"/>
      <c r="M23" s="39"/>
      <c r="N23" s="39"/>
      <c r="O23" s="39"/>
    </row>
    <row r="24" spans="2:15" x14ac:dyDescent="0.25">
      <c r="B24" s="36" t="s">
        <v>42</v>
      </c>
      <c r="C24" s="39"/>
      <c r="D24" s="39"/>
      <c r="E24" s="39"/>
      <c r="F24" s="39"/>
      <c r="G24" s="39"/>
      <c r="H24" s="39"/>
      <c r="I24" s="39"/>
      <c r="J24" s="39"/>
      <c r="K24" s="39"/>
      <c r="L24" s="39"/>
      <c r="M24" s="39"/>
      <c r="N24" s="39"/>
      <c r="O24" s="39"/>
    </row>
    <row r="25" spans="2:15" x14ac:dyDescent="0.25">
      <c r="C25" s="39"/>
      <c r="D25" s="39"/>
      <c r="E25" s="39"/>
      <c r="F25" s="39"/>
      <c r="G25" s="39"/>
      <c r="H25" s="39"/>
      <c r="I25" s="39"/>
      <c r="J25" s="39"/>
      <c r="K25" s="39"/>
      <c r="L25" s="39"/>
      <c r="M25" s="39"/>
      <c r="N25" s="39"/>
      <c r="O25" s="39"/>
    </row>
    <row r="26" spans="2:15" x14ac:dyDescent="0.25">
      <c r="C26" s="39"/>
      <c r="D26" s="39"/>
      <c r="E26" s="39"/>
      <c r="F26" s="39"/>
      <c r="G26" s="39"/>
      <c r="H26" s="39"/>
      <c r="I26" s="39"/>
      <c r="J26" s="39"/>
      <c r="K26" s="39"/>
      <c r="L26" s="39"/>
      <c r="M26" s="39"/>
      <c r="N26" s="39"/>
      <c r="O26" s="39"/>
    </row>
    <row r="27" spans="2:15" x14ac:dyDescent="0.25">
      <c r="C27" s="39"/>
      <c r="D27" s="39"/>
      <c r="E27" s="39"/>
      <c r="F27" s="39"/>
      <c r="G27" s="39"/>
      <c r="H27" s="39"/>
      <c r="I27" s="39"/>
      <c r="J27" s="39"/>
      <c r="K27" s="39"/>
      <c r="L27" s="39"/>
      <c r="M27" s="39"/>
      <c r="N27" s="39"/>
      <c r="O27" s="39"/>
    </row>
    <row r="28" spans="2:15" x14ac:dyDescent="0.25">
      <c r="C28" s="39"/>
      <c r="D28" s="39"/>
      <c r="E28" s="39"/>
      <c r="F28" s="39"/>
      <c r="G28" s="39"/>
      <c r="H28" s="39"/>
      <c r="I28" s="39"/>
      <c r="J28" s="39"/>
      <c r="K28" s="39"/>
      <c r="L28" s="39"/>
      <c r="M28" s="39"/>
      <c r="N28" s="39"/>
      <c r="O28" s="39"/>
    </row>
    <row r="29" spans="2:15" x14ac:dyDescent="0.25">
      <c r="C29" s="39"/>
      <c r="D29" s="39"/>
      <c r="E29" s="39"/>
      <c r="F29" s="39"/>
      <c r="G29" s="39"/>
      <c r="H29" s="39"/>
      <c r="I29" s="39"/>
      <c r="J29" s="39"/>
      <c r="K29" s="39"/>
      <c r="L29" s="39"/>
      <c r="M29" s="39"/>
      <c r="N29" s="39"/>
      <c r="O29" s="39"/>
    </row>
    <row r="30" spans="2:15" x14ac:dyDescent="0.25">
      <c r="C30" s="39"/>
      <c r="D30" s="39"/>
      <c r="E30" s="39"/>
      <c r="F30" s="43"/>
      <c r="G30" s="39"/>
      <c r="H30" s="39"/>
      <c r="I30" s="39"/>
      <c r="J30" s="39"/>
      <c r="K30" s="39"/>
      <c r="L30" s="39"/>
      <c r="M30" s="39"/>
      <c r="N30" s="39"/>
      <c r="O30" s="39"/>
    </row>
    <row r="31" spans="2:15" x14ac:dyDescent="0.25">
      <c r="C31" s="39"/>
      <c r="D31" s="39"/>
      <c r="E31" s="39"/>
      <c r="F31" s="43"/>
      <c r="G31" s="39"/>
      <c r="H31" s="39"/>
      <c r="I31" s="39"/>
      <c r="J31" s="39"/>
      <c r="K31" s="39"/>
      <c r="L31" s="39"/>
      <c r="M31" s="39"/>
      <c r="N31" s="39"/>
      <c r="O31" s="39"/>
    </row>
    <row r="32" spans="2:15" x14ac:dyDescent="0.25">
      <c r="C32" s="39"/>
      <c r="D32" s="39"/>
      <c r="E32" s="39"/>
      <c r="F32" s="43"/>
      <c r="G32" s="39"/>
      <c r="H32" s="39"/>
      <c r="I32" s="39"/>
      <c r="J32" s="39"/>
      <c r="K32" s="39"/>
      <c r="L32" s="39"/>
      <c r="M32" s="39"/>
      <c r="N32" s="39"/>
      <c r="O32" s="39"/>
    </row>
    <row r="33" spans="3:15" x14ac:dyDescent="0.25">
      <c r="C33" s="39"/>
      <c r="D33" s="39"/>
      <c r="E33" s="39"/>
      <c r="F33" s="43"/>
      <c r="G33" s="44"/>
      <c r="H33" s="39"/>
      <c r="I33" s="39"/>
      <c r="J33" s="39"/>
      <c r="K33" s="39"/>
      <c r="L33" s="39"/>
      <c r="M33" s="39"/>
      <c r="N33" s="39"/>
      <c r="O33" s="39"/>
    </row>
    <row r="34" spans="3:15" x14ac:dyDescent="0.25">
      <c r="F34" s="6"/>
    </row>
    <row r="35" spans="3:15" x14ac:dyDescent="0.25">
      <c r="F35" s="6"/>
    </row>
    <row r="36" spans="3:15" x14ac:dyDescent="0.25">
      <c r="F36" s="6"/>
    </row>
    <row r="37" spans="3:15" x14ac:dyDescent="0.25">
      <c r="F37" s="6"/>
    </row>
    <row r="38" spans="3:15" x14ac:dyDescent="0.25">
      <c r="F38" s="6"/>
      <c r="G38" s="7"/>
    </row>
    <row r="39" spans="3:15" x14ac:dyDescent="0.25">
      <c r="F39" s="6"/>
    </row>
    <row r="40" spans="3:15" x14ac:dyDescent="0.25">
      <c r="F40" s="6"/>
    </row>
    <row r="41" spans="3:15" x14ac:dyDescent="0.25">
      <c r="F41" s="6"/>
    </row>
    <row r="42" spans="3:15" x14ac:dyDescent="0.25">
      <c r="F42" s="6"/>
    </row>
    <row r="43" spans="3:15" x14ac:dyDescent="0.25">
      <c r="F43" s="6"/>
      <c r="G43" s="7"/>
    </row>
    <row r="44" spans="3:15" x14ac:dyDescent="0.25">
      <c r="F44" s="6"/>
    </row>
    <row r="45" spans="3:15" x14ac:dyDescent="0.25">
      <c r="F45" s="6"/>
      <c r="L45" s="7"/>
    </row>
    <row r="46" spans="3:15" x14ac:dyDescent="0.25">
      <c r="F46" s="6"/>
    </row>
    <row r="47" spans="3:15" x14ac:dyDescent="0.25">
      <c r="F47" s="6"/>
      <c r="G47" s="7"/>
    </row>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CF186-2E6C-4841-9987-7953F90EF901}">
  <sheetPr>
    <tabColor theme="9" tint="-0.499984740745262"/>
  </sheetPr>
  <dimension ref="A1"/>
  <sheetViews>
    <sheetView showGridLines="0" workbookViewId="0">
      <selection activeCell="R21" sqref="R21"/>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B4743-CABC-435C-B733-53ED41F24371}">
  <sheetPr>
    <tabColor rgb="FF7030A0"/>
  </sheetPr>
  <dimension ref="A1:M24"/>
  <sheetViews>
    <sheetView tabSelected="1" workbookViewId="0"/>
  </sheetViews>
  <sheetFormatPr defaultRowHeight="14.4" x14ac:dyDescent="0.3"/>
  <cols>
    <col min="1" max="1" width="18.33203125" customWidth="1"/>
  </cols>
  <sheetData>
    <row r="1" spans="1:13" ht="18" x14ac:dyDescent="0.35">
      <c r="A1" s="102" t="s">
        <v>82</v>
      </c>
    </row>
    <row r="3" spans="1:13" x14ac:dyDescent="0.3">
      <c r="A3" s="40" t="s">
        <v>17</v>
      </c>
      <c r="B3" s="41"/>
      <c r="C3" s="41"/>
      <c r="D3" s="41"/>
      <c r="E3" s="41"/>
      <c r="F3" s="41"/>
      <c r="G3" s="41"/>
      <c r="H3" s="41"/>
      <c r="I3" s="41"/>
      <c r="J3" s="41"/>
      <c r="K3" s="4"/>
      <c r="L3" s="4"/>
      <c r="M3" s="4"/>
    </row>
    <row r="4" spans="1:13" ht="15" thickBot="1" x14ac:dyDescent="0.35">
      <c r="A4" s="8" t="s">
        <v>4</v>
      </c>
      <c r="B4" s="38" t="s">
        <v>30</v>
      </c>
      <c r="C4" s="38" t="s">
        <v>30</v>
      </c>
      <c r="D4" s="38" t="s">
        <v>30</v>
      </c>
      <c r="E4" s="38" t="s">
        <v>30</v>
      </c>
      <c r="F4" s="38" t="s">
        <v>30</v>
      </c>
      <c r="G4" s="38" t="s">
        <v>30</v>
      </c>
      <c r="H4" s="38" t="s">
        <v>30</v>
      </c>
      <c r="I4" s="38" t="s">
        <v>30</v>
      </c>
      <c r="J4" s="39"/>
      <c r="K4" s="4"/>
      <c r="L4" s="4"/>
      <c r="M4" s="4"/>
    </row>
    <row r="5" spans="1:13" ht="15" thickBot="1" x14ac:dyDescent="0.35">
      <c r="A5" s="8" t="s">
        <v>72</v>
      </c>
      <c r="B5" s="78" t="s">
        <v>56</v>
      </c>
      <c r="C5" s="77" t="s">
        <v>57</v>
      </c>
      <c r="D5" s="77" t="s">
        <v>58</v>
      </c>
      <c r="E5" s="77" t="s">
        <v>59</v>
      </c>
      <c r="F5" s="77" t="s">
        <v>60</v>
      </c>
      <c r="G5" s="77" t="s">
        <v>61</v>
      </c>
      <c r="H5" s="77" t="s">
        <v>62</v>
      </c>
      <c r="I5" s="77" t="s">
        <v>63</v>
      </c>
      <c r="J5" s="39"/>
      <c r="K5" s="4"/>
      <c r="L5" s="4"/>
      <c r="M5" s="4"/>
    </row>
    <row r="6" spans="1:13" x14ac:dyDescent="0.3">
      <c r="A6" s="41"/>
      <c r="B6" s="41"/>
      <c r="C6" s="41"/>
      <c r="D6" s="41"/>
      <c r="E6" s="41"/>
      <c r="F6" s="41"/>
      <c r="G6" s="41"/>
      <c r="H6" s="41"/>
      <c r="I6" s="41"/>
      <c r="J6" s="41"/>
      <c r="K6" s="4"/>
      <c r="L6" s="4"/>
      <c r="M6" s="4"/>
    </row>
    <row r="7" spans="1:13" x14ac:dyDescent="0.3">
      <c r="A7" s="4"/>
      <c r="B7" s="4"/>
      <c r="C7" s="4"/>
      <c r="D7" s="4"/>
      <c r="E7" s="4"/>
      <c r="F7" s="4"/>
      <c r="G7" s="4"/>
      <c r="H7" s="4"/>
      <c r="I7" s="4"/>
      <c r="J7" s="41"/>
      <c r="K7" s="4"/>
      <c r="L7" s="4"/>
      <c r="M7" s="4"/>
    </row>
    <row r="8" spans="1:13" ht="15" thickBot="1" x14ac:dyDescent="0.35">
      <c r="A8" s="40" t="s">
        <v>18</v>
      </c>
      <c r="B8" s="38" t="s">
        <v>30</v>
      </c>
      <c r="C8" s="38" t="s">
        <v>30</v>
      </c>
      <c r="D8" s="38" t="s">
        <v>30</v>
      </c>
      <c r="E8" s="38" t="s">
        <v>30</v>
      </c>
      <c r="F8" s="38" t="s">
        <v>30</v>
      </c>
      <c r="G8" s="38" t="s">
        <v>30</v>
      </c>
      <c r="H8" s="38" t="s">
        <v>30</v>
      </c>
      <c r="I8" s="38" t="s">
        <v>30</v>
      </c>
      <c r="J8" s="4"/>
      <c r="K8" s="4"/>
      <c r="L8" s="4"/>
      <c r="M8" s="4"/>
    </row>
    <row r="9" spans="1:13" ht="15" thickBot="1" x14ac:dyDescent="0.35">
      <c r="A9" s="40"/>
      <c r="B9" s="78" t="s">
        <v>56</v>
      </c>
      <c r="C9" s="77" t="s">
        <v>57</v>
      </c>
      <c r="D9" s="77" t="s">
        <v>58</v>
      </c>
      <c r="E9" s="77" t="s">
        <v>59</v>
      </c>
      <c r="F9" s="77" t="s">
        <v>60</v>
      </c>
      <c r="G9" s="77" t="s">
        <v>61</v>
      </c>
      <c r="H9" s="77" t="s">
        <v>62</v>
      </c>
      <c r="I9" s="77" t="s">
        <v>63</v>
      </c>
      <c r="J9" s="4"/>
      <c r="K9" s="4"/>
      <c r="L9" s="4"/>
      <c r="M9" s="4"/>
    </row>
    <row r="10" spans="1:13" x14ac:dyDescent="0.3">
      <c r="A10" s="40"/>
      <c r="B10" s="4"/>
      <c r="C10" s="4"/>
      <c r="D10" s="4"/>
      <c r="E10" s="4"/>
      <c r="F10" s="4"/>
      <c r="G10" s="4"/>
      <c r="H10" s="4"/>
      <c r="I10" s="4"/>
      <c r="J10" s="4"/>
      <c r="K10" s="4"/>
      <c r="L10" s="4"/>
      <c r="M10" s="4"/>
    </row>
    <row r="11" spans="1:13" x14ac:dyDescent="0.3">
      <c r="A11" s="40"/>
      <c r="B11" s="4"/>
      <c r="C11" s="4"/>
      <c r="D11" s="4"/>
      <c r="E11" s="4"/>
      <c r="F11" s="4"/>
      <c r="G11" s="4"/>
      <c r="H11" s="4"/>
      <c r="I11" s="4"/>
      <c r="J11" s="4"/>
      <c r="K11" s="4"/>
      <c r="L11" s="4"/>
      <c r="M11" s="4"/>
    </row>
    <row r="12" spans="1:13" x14ac:dyDescent="0.3">
      <c r="A12" s="40"/>
      <c r="B12" s="4"/>
      <c r="C12" s="4"/>
      <c r="D12" s="4"/>
      <c r="E12" s="4"/>
      <c r="F12" s="4"/>
      <c r="G12" s="4"/>
      <c r="H12" s="4"/>
      <c r="I12" s="4"/>
      <c r="J12" s="4"/>
      <c r="K12" s="4"/>
      <c r="L12" s="4"/>
      <c r="M12" s="4"/>
    </row>
    <row r="13" spans="1:13" x14ac:dyDescent="0.3">
      <c r="A13" s="4"/>
      <c r="B13" s="4"/>
      <c r="C13" s="4"/>
      <c r="D13" s="4"/>
      <c r="E13" s="4"/>
      <c r="F13" s="4"/>
      <c r="G13" s="4"/>
      <c r="H13" s="4"/>
      <c r="I13" s="4"/>
      <c r="J13" s="4"/>
      <c r="K13" s="4"/>
      <c r="L13" s="4"/>
      <c r="M13" s="4"/>
    </row>
    <row r="14" spans="1:13" x14ac:dyDescent="0.3">
      <c r="A14" s="4" t="s">
        <v>19</v>
      </c>
      <c r="B14" s="4"/>
      <c r="C14" s="4"/>
      <c r="D14" s="4"/>
      <c r="E14" s="4"/>
      <c r="F14" s="4"/>
      <c r="G14" s="4"/>
      <c r="H14" s="4"/>
      <c r="I14" s="4"/>
      <c r="J14" s="4"/>
      <c r="K14" s="4"/>
      <c r="L14" s="4"/>
      <c r="M14" s="4"/>
    </row>
    <row r="15" spans="1:13" ht="15" thickBot="1" x14ac:dyDescent="0.35">
      <c r="A15" s="4"/>
      <c r="B15" s="38" t="s">
        <v>30</v>
      </c>
      <c r="C15" s="38" t="s">
        <v>30</v>
      </c>
      <c r="D15" s="38" t="s">
        <v>30</v>
      </c>
      <c r="E15" s="38" t="s">
        <v>30</v>
      </c>
      <c r="F15" s="38" t="s">
        <v>30</v>
      </c>
      <c r="G15" s="38" t="s">
        <v>30</v>
      </c>
      <c r="H15" s="38" t="s">
        <v>30</v>
      </c>
      <c r="I15" s="38" t="s">
        <v>30</v>
      </c>
      <c r="J15" s="4"/>
      <c r="K15" s="4" t="s">
        <v>36</v>
      </c>
      <c r="L15" s="4"/>
      <c r="M15" s="4"/>
    </row>
    <row r="16" spans="1:13" ht="37.200000000000003" thickBot="1" x14ac:dyDescent="0.35">
      <c r="A16" s="42" t="s">
        <v>37</v>
      </c>
      <c r="B16" s="78" t="s">
        <v>56</v>
      </c>
      <c r="C16" s="77" t="s">
        <v>57</v>
      </c>
      <c r="D16" s="77" t="s">
        <v>58</v>
      </c>
      <c r="E16" s="77" t="s">
        <v>59</v>
      </c>
      <c r="F16" s="77" t="s">
        <v>60</v>
      </c>
      <c r="G16" s="77" t="s">
        <v>61</v>
      </c>
      <c r="H16" s="77" t="s">
        <v>62</v>
      </c>
      <c r="I16" s="77" t="s">
        <v>63</v>
      </c>
      <c r="J16" s="5"/>
      <c r="K16" s="5" t="s">
        <v>20</v>
      </c>
      <c r="L16" s="5"/>
      <c r="M16" s="39"/>
    </row>
    <row r="17" spans="1:13" x14ac:dyDescent="0.3">
      <c r="A17" s="4" t="s">
        <v>43</v>
      </c>
      <c r="B17" s="113"/>
      <c r="C17" s="113"/>
      <c r="D17" s="113"/>
      <c r="E17" s="113"/>
      <c r="F17" s="113"/>
      <c r="G17" s="113"/>
      <c r="H17" s="113"/>
      <c r="I17" s="113"/>
      <c r="J17" s="24"/>
      <c r="K17" s="23" t="s">
        <v>35</v>
      </c>
      <c r="L17" s="114"/>
      <c r="M17" s="4"/>
    </row>
    <row r="18" spans="1:13" x14ac:dyDescent="0.3">
      <c r="A18" s="4"/>
      <c r="B18" s="113"/>
      <c r="C18" s="113"/>
      <c r="D18" s="113"/>
      <c r="E18" s="113"/>
      <c r="F18" s="113"/>
      <c r="G18" s="113"/>
      <c r="H18" s="113"/>
      <c r="I18" s="113"/>
      <c r="J18" s="24"/>
      <c r="K18" s="23" t="s">
        <v>35</v>
      </c>
      <c r="L18" s="114"/>
      <c r="M18" s="4"/>
    </row>
    <row r="19" spans="1:13" x14ac:dyDescent="0.3">
      <c r="A19" s="4"/>
      <c r="B19" s="113"/>
      <c r="C19" s="113"/>
      <c r="D19" s="113"/>
      <c r="E19" s="113"/>
      <c r="F19" s="113"/>
      <c r="G19" s="113"/>
      <c r="H19" s="113"/>
      <c r="I19" s="113"/>
      <c r="J19" s="24"/>
      <c r="K19" s="23" t="s">
        <v>35</v>
      </c>
      <c r="L19" s="114"/>
      <c r="M19" s="4"/>
    </row>
    <row r="20" spans="1:13" x14ac:dyDescent="0.3">
      <c r="A20" s="34"/>
      <c r="B20" s="34"/>
      <c r="C20" s="34"/>
      <c r="D20" s="34"/>
      <c r="E20" s="34"/>
      <c r="F20" s="34"/>
      <c r="G20" s="34"/>
      <c r="H20" s="34"/>
      <c r="I20" s="34"/>
      <c r="J20" s="34"/>
      <c r="K20" s="34"/>
      <c r="L20" s="126"/>
      <c r="M20" s="34"/>
    </row>
    <row r="21" spans="1:13" x14ac:dyDescent="0.3">
      <c r="A21" s="34"/>
      <c r="B21" s="34"/>
      <c r="C21" s="34"/>
      <c r="D21" s="34"/>
      <c r="E21" s="34"/>
      <c r="F21" s="34"/>
      <c r="G21" s="34"/>
      <c r="H21" s="34"/>
      <c r="I21" s="34"/>
      <c r="J21" s="34"/>
      <c r="K21" s="34"/>
      <c r="L21" s="34"/>
      <c r="M21" s="34"/>
    </row>
    <row r="22" spans="1:13" x14ac:dyDescent="0.3">
      <c r="A22" s="34"/>
      <c r="B22" s="34"/>
      <c r="C22" s="34"/>
      <c r="D22" s="34"/>
      <c r="E22" s="34"/>
      <c r="F22" s="34"/>
      <c r="G22" s="34"/>
      <c r="H22" s="34"/>
      <c r="I22" s="34"/>
      <c r="J22" s="34"/>
      <c r="K22" s="34"/>
      <c r="L22" s="34"/>
      <c r="M22" s="34"/>
    </row>
    <row r="23" spans="1:13" x14ac:dyDescent="0.3">
      <c r="A23" s="34"/>
      <c r="B23" s="34"/>
      <c r="C23" s="34"/>
      <c r="D23" s="34"/>
      <c r="E23" s="34"/>
      <c r="F23" s="34"/>
      <c r="G23" s="34"/>
      <c r="H23" s="34"/>
      <c r="I23" s="34"/>
      <c r="J23" s="34"/>
      <c r="K23" s="34"/>
      <c r="L23" s="34"/>
      <c r="M23" s="34"/>
    </row>
    <row r="24" spans="1:13" x14ac:dyDescent="0.3">
      <c r="A24" s="34"/>
      <c r="B24" s="34"/>
      <c r="C24" s="34"/>
      <c r="D24" s="34"/>
      <c r="E24" s="34"/>
      <c r="F24" s="34"/>
      <c r="G24" s="34"/>
      <c r="H24" s="34"/>
      <c r="I24" s="34"/>
      <c r="J24" s="34"/>
      <c r="K24" s="34"/>
      <c r="L24" s="34"/>
      <c r="M24" s="3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8E405-A9DD-4E8E-B756-B22C1F31BD3F}">
  <dimension ref="C2:J28"/>
  <sheetViews>
    <sheetView workbookViewId="0">
      <selection activeCell="Q18" sqref="Q18"/>
    </sheetView>
  </sheetViews>
  <sheetFormatPr defaultRowHeight="14.4" x14ac:dyDescent="0.3"/>
  <cols>
    <col min="3" max="3" width="13.5546875" customWidth="1"/>
    <col min="4" max="4" width="33.109375" customWidth="1"/>
    <col min="5" max="5" width="12.44140625" customWidth="1"/>
    <col min="6" max="6" width="16.88671875" customWidth="1"/>
    <col min="7" max="8" width="12.44140625" customWidth="1"/>
    <col min="9" max="9" width="21.88671875" customWidth="1"/>
    <col min="10" max="11" width="12.44140625" customWidth="1"/>
  </cols>
  <sheetData>
    <row r="2" spans="3:10" ht="21.6" thickBot="1" x14ac:dyDescent="0.45">
      <c r="D2" s="46" t="s">
        <v>107</v>
      </c>
    </row>
    <row r="3" spans="3:10" ht="57" customHeight="1" x14ac:dyDescent="0.3">
      <c r="C3" s="17" t="s">
        <v>1</v>
      </c>
      <c r="D3" s="17" t="s">
        <v>2</v>
      </c>
      <c r="E3" s="98" t="s">
        <v>73</v>
      </c>
      <c r="F3" s="98" t="s">
        <v>74</v>
      </c>
      <c r="G3" s="99" t="s">
        <v>5</v>
      </c>
      <c r="H3" s="100" t="s">
        <v>49</v>
      </c>
      <c r="I3" s="100" t="s">
        <v>40</v>
      </c>
      <c r="J3" s="101" t="s">
        <v>105</v>
      </c>
    </row>
    <row r="4" spans="3:10" ht="15.6" x14ac:dyDescent="0.3">
      <c r="C4" s="15" t="s">
        <v>97</v>
      </c>
      <c r="D4" s="130" t="s">
        <v>98</v>
      </c>
      <c r="E4" s="146" t="s">
        <v>64</v>
      </c>
      <c r="F4" s="90" t="s">
        <v>56</v>
      </c>
      <c r="G4" s="10"/>
      <c r="H4" s="10"/>
      <c r="I4" s="91"/>
      <c r="J4" s="87"/>
    </row>
    <row r="5" spans="3:10" ht="15.6" x14ac:dyDescent="0.3">
      <c r="C5" s="15"/>
      <c r="D5" s="132" t="s">
        <v>104</v>
      </c>
      <c r="E5" s="146"/>
      <c r="F5" s="90" t="s">
        <v>57</v>
      </c>
      <c r="G5" s="10"/>
      <c r="H5" s="10"/>
      <c r="I5" s="91"/>
      <c r="J5" s="87"/>
    </row>
    <row r="6" spans="3:10" ht="15.6" x14ac:dyDescent="0.3">
      <c r="C6" s="16" t="s">
        <v>99</v>
      </c>
      <c r="D6" s="131" t="s">
        <v>100</v>
      </c>
      <c r="E6" s="149" t="s">
        <v>65</v>
      </c>
      <c r="F6" s="92" t="s">
        <v>58</v>
      </c>
      <c r="G6" s="10"/>
      <c r="H6" s="10"/>
      <c r="I6" s="91"/>
      <c r="J6" s="87"/>
    </row>
    <row r="7" spans="3:10" ht="15.6" x14ac:dyDescent="0.3">
      <c r="C7" s="16"/>
      <c r="D7" s="132" t="s">
        <v>104</v>
      </c>
      <c r="E7" s="149"/>
      <c r="F7" s="92" t="s">
        <v>59</v>
      </c>
      <c r="G7" s="10"/>
      <c r="H7" s="10"/>
      <c r="I7" s="91"/>
      <c r="J7" s="87"/>
    </row>
    <row r="8" spans="3:10" ht="15.6" x14ac:dyDescent="0.3">
      <c r="C8" s="15" t="s">
        <v>101</v>
      </c>
      <c r="D8" s="130" t="s">
        <v>102</v>
      </c>
      <c r="E8" s="138" t="s">
        <v>66</v>
      </c>
      <c r="F8" s="93" t="s">
        <v>60</v>
      </c>
      <c r="G8" s="10"/>
      <c r="H8" s="10"/>
      <c r="I8" s="91"/>
      <c r="J8" s="87"/>
    </row>
    <row r="9" spans="3:10" ht="15.6" x14ac:dyDescent="0.3">
      <c r="C9" s="15"/>
      <c r="D9" s="132" t="s">
        <v>104</v>
      </c>
      <c r="E9" s="138"/>
      <c r="F9" s="93" t="s">
        <v>61</v>
      </c>
      <c r="G9" s="10"/>
      <c r="H9" s="10"/>
      <c r="I9" s="91"/>
      <c r="J9" s="87"/>
    </row>
    <row r="10" spans="3:10" ht="15.6" x14ac:dyDescent="0.3">
      <c r="C10" s="9" t="s">
        <v>90</v>
      </c>
      <c r="D10" s="131" t="s">
        <v>103</v>
      </c>
      <c r="E10" s="139" t="s">
        <v>67</v>
      </c>
      <c r="F10" s="94" t="s">
        <v>62</v>
      </c>
      <c r="G10" s="10"/>
      <c r="H10" s="10"/>
      <c r="I10" s="91"/>
      <c r="J10" s="87"/>
    </row>
    <row r="11" spans="3:10" ht="16.2" thickBot="1" x14ac:dyDescent="0.35">
      <c r="C11" s="26"/>
      <c r="D11" s="132" t="s">
        <v>104</v>
      </c>
      <c r="E11" s="160"/>
      <c r="F11" s="96" t="s">
        <v>63</v>
      </c>
      <c r="G11" s="88"/>
      <c r="H11" s="88"/>
      <c r="I11" s="97"/>
      <c r="J11" s="89"/>
    </row>
    <row r="13" spans="3:10" ht="18" customHeight="1" x14ac:dyDescent="0.3">
      <c r="D13" s="37" t="s">
        <v>48</v>
      </c>
      <c r="E13" s="136"/>
    </row>
    <row r="17" spans="3:10" ht="21.6" thickBot="1" x14ac:dyDescent="0.45">
      <c r="D17" s="46" t="s">
        <v>108</v>
      </c>
    </row>
    <row r="18" spans="3:10" ht="50.4" customHeight="1" thickBot="1" x14ac:dyDescent="0.35">
      <c r="C18" s="17" t="s">
        <v>1</v>
      </c>
      <c r="D18" s="17" t="s">
        <v>2</v>
      </c>
      <c r="E18" s="80" t="s">
        <v>73</v>
      </c>
      <c r="F18" s="80" t="s">
        <v>74</v>
      </c>
      <c r="G18" s="81" t="s">
        <v>5</v>
      </c>
      <c r="H18" s="82" t="s">
        <v>49</v>
      </c>
      <c r="I18" s="82" t="s">
        <v>40</v>
      </c>
      <c r="J18" s="83" t="s">
        <v>51</v>
      </c>
    </row>
    <row r="19" spans="3:10" ht="15.6" x14ac:dyDescent="0.3">
      <c r="C19" s="15" t="s">
        <v>97</v>
      </c>
      <c r="D19" s="130" t="s">
        <v>98</v>
      </c>
      <c r="E19" s="161" t="s">
        <v>64</v>
      </c>
      <c r="F19" s="95" t="s">
        <v>56</v>
      </c>
      <c r="G19" s="84"/>
      <c r="H19" s="84"/>
      <c r="I19" s="85"/>
      <c r="J19" s="86"/>
    </row>
    <row r="20" spans="3:10" ht="15.6" x14ac:dyDescent="0.3">
      <c r="C20" s="15"/>
      <c r="D20" s="132" t="s">
        <v>104</v>
      </c>
      <c r="E20" s="146"/>
      <c r="F20" s="90" t="s">
        <v>57</v>
      </c>
      <c r="G20" s="10"/>
      <c r="H20" s="10"/>
      <c r="I20" s="91"/>
      <c r="J20" s="87"/>
    </row>
    <row r="21" spans="3:10" ht="15.6" x14ac:dyDescent="0.3">
      <c r="C21" s="16" t="s">
        <v>99</v>
      </c>
      <c r="D21" s="131" t="s">
        <v>100</v>
      </c>
      <c r="E21" s="149" t="s">
        <v>65</v>
      </c>
      <c r="F21" s="92" t="s">
        <v>58</v>
      </c>
      <c r="G21" s="10"/>
      <c r="H21" s="10"/>
      <c r="I21" s="91"/>
      <c r="J21" s="87"/>
    </row>
    <row r="22" spans="3:10" ht="15.6" x14ac:dyDescent="0.3">
      <c r="C22" s="16"/>
      <c r="D22" s="132" t="s">
        <v>104</v>
      </c>
      <c r="E22" s="149"/>
      <c r="F22" s="92" t="s">
        <v>59</v>
      </c>
      <c r="G22" s="10"/>
      <c r="H22" s="10"/>
      <c r="I22" s="91"/>
      <c r="J22" s="87"/>
    </row>
    <row r="23" spans="3:10" ht="15.6" x14ac:dyDescent="0.3">
      <c r="C23" s="15" t="s">
        <v>101</v>
      </c>
      <c r="D23" s="130" t="s">
        <v>102</v>
      </c>
      <c r="E23" s="138" t="s">
        <v>66</v>
      </c>
      <c r="F23" s="93" t="s">
        <v>60</v>
      </c>
      <c r="G23" s="10"/>
      <c r="H23" s="10"/>
      <c r="I23" s="91"/>
      <c r="J23" s="87"/>
    </row>
    <row r="24" spans="3:10" ht="15.6" x14ac:dyDescent="0.3">
      <c r="C24" s="15"/>
      <c r="D24" s="132" t="s">
        <v>104</v>
      </c>
      <c r="E24" s="138"/>
      <c r="F24" s="93" t="s">
        <v>61</v>
      </c>
      <c r="G24" s="10"/>
      <c r="H24" s="10"/>
      <c r="I24" s="91"/>
      <c r="J24" s="87"/>
    </row>
    <row r="25" spans="3:10" ht="15.6" x14ac:dyDescent="0.3">
      <c r="C25" s="9" t="s">
        <v>90</v>
      </c>
      <c r="D25" s="131" t="s">
        <v>103</v>
      </c>
      <c r="E25" s="139" t="s">
        <v>67</v>
      </c>
      <c r="F25" s="94" t="s">
        <v>62</v>
      </c>
      <c r="G25" s="10"/>
      <c r="H25" s="10"/>
      <c r="I25" s="91"/>
      <c r="J25" s="87"/>
    </row>
    <row r="26" spans="3:10" ht="16.2" thickBot="1" x14ac:dyDescent="0.35">
      <c r="C26" s="26"/>
      <c r="D26" s="132" t="s">
        <v>104</v>
      </c>
      <c r="E26" s="160"/>
      <c r="F26" s="96" t="s">
        <v>63</v>
      </c>
      <c r="G26" s="88"/>
      <c r="H26" s="88"/>
      <c r="I26" s="97"/>
      <c r="J26" s="89"/>
    </row>
    <row r="28" spans="3:10" ht="15.6" x14ac:dyDescent="0.3">
      <c r="D28" s="37" t="s">
        <v>48</v>
      </c>
      <c r="E28" s="136"/>
    </row>
  </sheetData>
  <mergeCells count="8">
    <mergeCell ref="E21:E22"/>
    <mergeCell ref="E23:E24"/>
    <mergeCell ref="E25:E26"/>
    <mergeCell ref="E4:E5"/>
    <mergeCell ref="E6:E7"/>
    <mergeCell ref="E8:E9"/>
    <mergeCell ref="E10:E11"/>
    <mergeCell ref="E19: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1.a Compute rate of return</vt:lpstr>
      <vt:lpstr>1.b Sample  (Return and Risk)</vt:lpstr>
      <vt:lpstr>2.a. LP Modelling </vt:lpstr>
      <vt:lpstr>2.b LP Sensitivity Report 1</vt:lpstr>
      <vt:lpstr>3.a ILP modelling</vt:lpstr>
      <vt:lpstr>Summary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Zahra Hosseinifard</dc:creator>
  <cp:keywords/>
  <dc:description/>
  <cp:lastModifiedBy>Annista Wijayanayake</cp:lastModifiedBy>
  <cp:revision/>
  <dcterms:created xsi:type="dcterms:W3CDTF">2015-06-05T18:17:20Z</dcterms:created>
  <dcterms:modified xsi:type="dcterms:W3CDTF">2025-03-24T09:57:09Z</dcterms:modified>
  <cp:category/>
  <cp:contentStatus/>
</cp:coreProperties>
</file>